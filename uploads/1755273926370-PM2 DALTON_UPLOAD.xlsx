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067AF596-B45C-4269-9A43-E17DA1AAB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11" i="1" l="1"/>
  <c r="BN11" i="1"/>
  <c r="BM11" i="1"/>
  <c r="BL11" i="1"/>
  <c r="BO10" i="1"/>
  <c r="BN10" i="1"/>
  <c r="BM10" i="1"/>
  <c r="BL10" i="1"/>
  <c r="BO9" i="1"/>
  <c r="BN9" i="1"/>
  <c r="BM9" i="1"/>
  <c r="BL9" i="1"/>
  <c r="BO8" i="1"/>
  <c r="BN8" i="1"/>
  <c r="BM8" i="1"/>
  <c r="BL8" i="1"/>
  <c r="BO7" i="1"/>
  <c r="BN7" i="1"/>
  <c r="BM7" i="1"/>
  <c r="BL7" i="1"/>
  <c r="BO6" i="1"/>
  <c r="BN6" i="1"/>
  <c r="BM6" i="1"/>
  <c r="BL6" i="1"/>
  <c r="BO5" i="1"/>
  <c r="BN5" i="1"/>
  <c r="BM5" i="1"/>
  <c r="BL5" i="1"/>
  <c r="BO4" i="1"/>
  <c r="BN4" i="1"/>
  <c r="BM4" i="1"/>
  <c r="BL4" i="1"/>
  <c r="BO3" i="1"/>
  <c r="BN3" i="1"/>
  <c r="BM3" i="1"/>
  <c r="BL3" i="1"/>
  <c r="BO2" i="1"/>
  <c r="BN2" i="1"/>
  <c r="BM2" i="1"/>
  <c r="BL2" i="1"/>
</calcChain>
</file>

<file path=xl/sharedStrings.xml><?xml version="1.0" encoding="utf-8"?>
<sst xmlns="http://schemas.openxmlformats.org/spreadsheetml/2006/main" count="191" uniqueCount="134">
  <si>
    <t xml:space="preserve">Sr. No </t>
  </si>
  <si>
    <t>NAME</t>
  </si>
  <si>
    <t>BATCH</t>
  </si>
  <si>
    <t>Zoology_CR</t>
  </si>
  <si>
    <t>Zoology_OD</t>
  </si>
  <si>
    <t>Zoology_CA</t>
  </si>
  <si>
    <t>Zoology_HW</t>
  </si>
  <si>
    <t>Chemistry_CR</t>
  </si>
  <si>
    <t>Chemistry_OD</t>
  </si>
  <si>
    <t>Chemistry_CA</t>
  </si>
  <si>
    <t>Chemistry_HW</t>
  </si>
  <si>
    <t>Physics_CR</t>
  </si>
  <si>
    <t>Physics_OD</t>
  </si>
  <si>
    <t>Physics_CA</t>
  </si>
  <si>
    <t>Physics_HW</t>
  </si>
  <si>
    <t>Botany_CR</t>
  </si>
  <si>
    <t>Botany_OD</t>
  </si>
  <si>
    <t>Botany_CA</t>
  </si>
  <si>
    <t>Botany_HW</t>
  </si>
  <si>
    <t>Total_CR</t>
  </si>
  <si>
    <t>Total_OD</t>
  </si>
  <si>
    <t>Total_CA</t>
  </si>
  <si>
    <t>Total_HW</t>
  </si>
  <si>
    <t>Adarsh Verma</t>
  </si>
  <si>
    <t>PM2</t>
  </si>
  <si>
    <t>Mr. Vipin Kumar Verma</t>
  </si>
  <si>
    <t>Mrs. Geeta Verma</t>
  </si>
  <si>
    <t>Adnan Saifi</t>
  </si>
  <si>
    <t>Mr. Nasir Hussain</t>
  </si>
  <si>
    <t>Mrs. Anjum Nisha</t>
  </si>
  <si>
    <t>Afsan Ali</t>
  </si>
  <si>
    <t>Mr. Furkan Ahamad</t>
  </si>
  <si>
    <t>Mrs. Anjum Jahan</t>
  </si>
  <si>
    <t>Agrima Singh</t>
  </si>
  <si>
    <t>Mr. Kushal Pal Singh</t>
  </si>
  <si>
    <t>Mrs. Nidhi Singh</t>
  </si>
  <si>
    <t>Alpish</t>
  </si>
  <si>
    <t>Mohd Yunus</t>
  </si>
  <si>
    <t>Mrs. Shama</t>
  </si>
  <si>
    <t>Ananya Mittal</t>
  </si>
  <si>
    <t>Mr. Vikas Kumar</t>
  </si>
  <si>
    <t>Mrs. Shweta Gupta</t>
  </si>
  <si>
    <t xml:space="preserve">Ananya Rastogi </t>
  </si>
  <si>
    <t>Mr. Akshay Rastogi</t>
  </si>
  <si>
    <t>Mrs. Parul Rastogi</t>
  </si>
  <si>
    <t>Anshika Pal</t>
  </si>
  <si>
    <t>Mr. Jayvendra Kumar</t>
  </si>
  <si>
    <t>Mrs. Priyanka Pal</t>
  </si>
  <si>
    <t>Ashi Chauhan</t>
  </si>
  <si>
    <t>Dr. Anupam Chauhan</t>
  </si>
  <si>
    <t>Mrs. Neetu Singh</t>
  </si>
  <si>
    <t>Bhanu Pratap Singh</t>
  </si>
  <si>
    <t>Mr. Rajveer Singh</t>
  </si>
  <si>
    <t>Mrs. Kuntesh Saini</t>
  </si>
  <si>
    <t>Strength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</si>
  <si>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</si>
  <si>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</si>
  <si>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</si>
  <si>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</si>
  <si>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</si>
  <si>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</si>
  <si>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</si>
  <si>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</si>
  <si>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</si>
  <si>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</si>
  <si>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</si>
  <si>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</si>
  <si>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</t>
  </si>
  <si>
    <t>Result_15 June_Phy</t>
  </si>
  <si>
    <t>Result_15 June_Chem</t>
  </si>
  <si>
    <t>Result_15 June_Bio</t>
  </si>
  <si>
    <t>Result_15 June_Total</t>
  </si>
  <si>
    <t>Result_15 June_Highest Marks</t>
  </si>
  <si>
    <t>Result_29 June</t>
  </si>
  <si>
    <t>Result_29 June_Phy</t>
  </si>
  <si>
    <t>Result_29 June_Chem</t>
  </si>
  <si>
    <t>Result_29 June_Bio</t>
  </si>
  <si>
    <t>Result_29 June_Total</t>
  </si>
  <si>
    <t>Result_29 June_Highest Marks</t>
  </si>
  <si>
    <t>Result_13 July</t>
  </si>
  <si>
    <t>Result_13 July_Phy</t>
  </si>
  <si>
    <t>Result_13 July_Chem</t>
  </si>
  <si>
    <t>Result_13 July_Bio</t>
  </si>
  <si>
    <t>Result_13 July_Total</t>
  </si>
  <si>
    <t>Result_13 July_Highest Marks</t>
  </si>
  <si>
    <t>Result_10 August</t>
  </si>
  <si>
    <t>Result_10 August_Phy</t>
  </si>
  <si>
    <t>Result_10 August_Chem</t>
  </si>
  <si>
    <t>Result_10 August_Bio</t>
  </si>
  <si>
    <t>Result_10 August_Total</t>
  </si>
  <si>
    <t>Result_10 August_Highest Marks</t>
  </si>
  <si>
    <t>29/51</t>
  </si>
  <si>
    <t>32/56</t>
  </si>
  <si>
    <t>35/49</t>
  </si>
  <si>
    <t>36/42</t>
  </si>
  <si>
    <t>Not Join</t>
  </si>
  <si>
    <t>-</t>
  </si>
  <si>
    <t>24/49</t>
  </si>
  <si>
    <t>10/42</t>
  </si>
  <si>
    <t>41/49</t>
  </si>
  <si>
    <t>28/42</t>
  </si>
  <si>
    <t>8/51</t>
  </si>
  <si>
    <t>3/56</t>
  </si>
  <si>
    <t>6/49</t>
  </si>
  <si>
    <t>3/42</t>
  </si>
  <si>
    <t>42/51</t>
  </si>
  <si>
    <t>42/56</t>
  </si>
  <si>
    <t>45/49</t>
  </si>
  <si>
    <t>27/42</t>
  </si>
  <si>
    <t>3/51</t>
  </si>
  <si>
    <t>6/56</t>
  </si>
  <si>
    <t>3/49</t>
  </si>
  <si>
    <t>5/42</t>
  </si>
  <si>
    <t>12/51</t>
  </si>
  <si>
    <t>12/56</t>
  </si>
  <si>
    <t>22/49</t>
  </si>
  <si>
    <t>17/42</t>
  </si>
  <si>
    <t>20/51</t>
  </si>
  <si>
    <t>15/56</t>
  </si>
  <si>
    <t>11/49</t>
  </si>
  <si>
    <t>14/42</t>
  </si>
  <si>
    <t>32/51</t>
  </si>
  <si>
    <t>37/56</t>
  </si>
  <si>
    <t>26/51</t>
  </si>
  <si>
    <t>23/56</t>
  </si>
  <si>
    <t>26/49</t>
  </si>
  <si>
    <t>ABS</t>
  </si>
  <si>
    <t>ROLL NO</t>
  </si>
  <si>
    <t>Father Name</t>
  </si>
  <si>
    <t>Mother Name</t>
  </si>
  <si>
    <t>Physical Chemistry_CR</t>
  </si>
  <si>
    <t>Physical Chemistry_OD</t>
  </si>
  <si>
    <t>Physical Chemistry_CA</t>
  </si>
  <si>
    <t>Physical Chemistry_HW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</si>
</sst>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1"/>
  <sheetViews>
    <sheetView tabSelected="1" topLeftCell="A5" workbookViewId="0">
      <selection activeCell="B17" sqref="B17"/>
    </sheetView>
  </sheetViews>
  <sheetFormatPr defaultRowHeight="14.4" x14ac:dyDescent="0.3"/>
  <cols>
    <col min="1" max="1" width="7.5546875" bestFit="1" customWidth="1"/>
    <col min="2" max="2" width="21" bestFit="1" customWidth="1"/>
    <col min="3" max="3" width="12.44140625" bestFit="1" customWidth="1"/>
    <col min="4" max="4" width="7.44140625" bestFit="1" customWidth="1"/>
    <col min="5" max="5" width="15.6640625" customWidth="1"/>
    <col min="6" max="7" width="22.44140625" customWidth="1"/>
    <col min="8" max="19" width="9.6640625" style="12" customWidth="1"/>
    <col min="20" max="32" width="13.44140625" customWidth="1"/>
    <col min="33" max="43" width="13.44140625" style="13" customWidth="1"/>
    <col min="44" max="67" width="12.6640625" style="13" customWidth="1"/>
  </cols>
  <sheetData>
    <row r="1" spans="1:67" ht="54.75" customHeight="1" x14ac:dyDescent="0.3">
      <c r="A1" s="1" t="s">
        <v>0</v>
      </c>
      <c r="B1" s="1" t="s">
        <v>1</v>
      </c>
      <c r="C1" s="1" t="s">
        <v>127</v>
      </c>
      <c r="D1" s="1" t="s">
        <v>2</v>
      </c>
      <c r="E1" s="1" t="s">
        <v>54</v>
      </c>
      <c r="F1" s="1" t="s">
        <v>128</v>
      </c>
      <c r="G1" s="1" t="s">
        <v>129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8" t="s">
        <v>67</v>
      </c>
      <c r="U1" s="8" t="s">
        <v>68</v>
      </c>
      <c r="V1" s="8" t="s">
        <v>69</v>
      </c>
      <c r="W1" s="8" t="s">
        <v>70</v>
      </c>
      <c r="X1" s="8" t="s">
        <v>71</v>
      </c>
      <c r="Y1" s="3" t="s">
        <v>72</v>
      </c>
      <c r="Z1" s="8" t="s">
        <v>73</v>
      </c>
      <c r="AA1" s="8" t="s">
        <v>74</v>
      </c>
      <c r="AB1" s="8" t="s">
        <v>75</v>
      </c>
      <c r="AC1" s="8" t="s">
        <v>76</v>
      </c>
      <c r="AD1" s="8" t="s">
        <v>77</v>
      </c>
      <c r="AE1" s="3" t="s">
        <v>78</v>
      </c>
      <c r="AF1" s="8" t="s">
        <v>79</v>
      </c>
      <c r="AG1" s="8" t="s">
        <v>80</v>
      </c>
      <c r="AH1" s="8" t="s">
        <v>81</v>
      </c>
      <c r="AI1" s="8" t="s">
        <v>82</v>
      </c>
      <c r="AJ1" s="8" t="s">
        <v>83</v>
      </c>
      <c r="AK1" s="3" t="s">
        <v>84</v>
      </c>
      <c r="AL1" s="8" t="s">
        <v>85</v>
      </c>
      <c r="AM1" s="8" t="s">
        <v>86</v>
      </c>
      <c r="AN1" s="8" t="s">
        <v>87</v>
      </c>
      <c r="AO1" s="8" t="s">
        <v>88</v>
      </c>
      <c r="AP1" s="8" t="s">
        <v>89</v>
      </c>
      <c r="AQ1" s="3" t="s">
        <v>90</v>
      </c>
      <c r="AR1" s="3" t="s">
        <v>3</v>
      </c>
      <c r="AS1" s="3" t="s">
        <v>4</v>
      </c>
      <c r="AT1" s="3" t="s">
        <v>5</v>
      </c>
      <c r="AU1" s="3" t="s">
        <v>6</v>
      </c>
      <c r="AV1" s="3" t="s">
        <v>7</v>
      </c>
      <c r="AW1" s="3" t="s">
        <v>8</v>
      </c>
      <c r="AX1" s="3" t="s">
        <v>9</v>
      </c>
      <c r="AY1" s="3" t="s">
        <v>10</v>
      </c>
      <c r="AZ1" s="3" t="s">
        <v>11</v>
      </c>
      <c r="BA1" s="3" t="s">
        <v>12</v>
      </c>
      <c r="BB1" s="3" t="s">
        <v>13</v>
      </c>
      <c r="BC1" s="3" t="s">
        <v>14</v>
      </c>
      <c r="BD1" s="3" t="s">
        <v>130</v>
      </c>
      <c r="BE1" s="3" t="s">
        <v>131</v>
      </c>
      <c r="BF1" s="3" t="s">
        <v>132</v>
      </c>
      <c r="BG1" s="3" t="s">
        <v>133</v>
      </c>
      <c r="BH1" s="3" t="s">
        <v>15</v>
      </c>
      <c r="BI1" s="3" t="s">
        <v>16</v>
      </c>
      <c r="BJ1" s="3" t="s">
        <v>17</v>
      </c>
      <c r="BK1" s="3" t="s">
        <v>18</v>
      </c>
      <c r="BL1" s="3" t="s">
        <v>19</v>
      </c>
      <c r="BM1" s="3" t="s">
        <v>20</v>
      </c>
      <c r="BN1" s="3" t="s">
        <v>21</v>
      </c>
      <c r="BO1" s="3" t="s">
        <v>22</v>
      </c>
    </row>
    <row r="2" spans="1:67" ht="15.6" x14ac:dyDescent="0.3">
      <c r="A2" s="4">
        <v>1</v>
      </c>
      <c r="B2" s="5" t="s">
        <v>23</v>
      </c>
      <c r="C2" s="5">
        <v>2025160051</v>
      </c>
      <c r="D2" s="4" t="s">
        <v>24</v>
      </c>
      <c r="E2" s="4">
        <v>52</v>
      </c>
      <c r="F2" s="4" t="s">
        <v>25</v>
      </c>
      <c r="G2" s="4" t="s">
        <v>26</v>
      </c>
      <c r="H2" s="6">
        <v>8</v>
      </c>
      <c r="I2" s="6">
        <v>8</v>
      </c>
      <c r="J2" s="6">
        <v>0</v>
      </c>
      <c r="K2" s="7">
        <v>1</v>
      </c>
      <c r="L2" s="6">
        <v>18</v>
      </c>
      <c r="M2" s="6">
        <v>18</v>
      </c>
      <c r="N2" s="6">
        <v>0</v>
      </c>
      <c r="O2" s="7">
        <v>1</v>
      </c>
      <c r="P2" s="6">
        <v>22</v>
      </c>
      <c r="Q2" s="6">
        <v>20</v>
      </c>
      <c r="R2" s="6">
        <v>2</v>
      </c>
      <c r="S2" s="7">
        <v>0.90909090909090906</v>
      </c>
      <c r="T2" s="6" t="s">
        <v>91</v>
      </c>
      <c r="U2" s="6">
        <v>47</v>
      </c>
      <c r="V2" s="6">
        <v>93</v>
      </c>
      <c r="W2" s="6">
        <v>263</v>
      </c>
      <c r="X2" s="6">
        <v>403</v>
      </c>
      <c r="Y2" s="6">
        <v>659</v>
      </c>
      <c r="Z2" s="6" t="s">
        <v>92</v>
      </c>
      <c r="AA2" s="6">
        <v>48</v>
      </c>
      <c r="AB2" s="6">
        <v>86</v>
      </c>
      <c r="AC2" s="6">
        <v>279</v>
      </c>
      <c r="AD2" s="6">
        <v>413</v>
      </c>
      <c r="AE2" s="6">
        <v>705</v>
      </c>
      <c r="AF2" s="6" t="s">
        <v>93</v>
      </c>
      <c r="AG2" s="6">
        <v>36</v>
      </c>
      <c r="AH2" s="6">
        <v>88</v>
      </c>
      <c r="AI2" s="6">
        <v>190</v>
      </c>
      <c r="AJ2" s="6">
        <v>314</v>
      </c>
      <c r="AK2" s="6">
        <v>690</v>
      </c>
      <c r="AL2" s="6" t="s">
        <v>94</v>
      </c>
      <c r="AM2" s="6">
        <v>5</v>
      </c>
      <c r="AN2" s="6">
        <v>74</v>
      </c>
      <c r="AO2" s="6">
        <v>155</v>
      </c>
      <c r="AP2" s="6">
        <v>234</v>
      </c>
      <c r="AQ2" s="6">
        <v>632</v>
      </c>
      <c r="AR2" s="6">
        <v>10</v>
      </c>
      <c r="AS2" s="6">
        <v>10</v>
      </c>
      <c r="AT2" s="6">
        <v>10</v>
      </c>
      <c r="AU2" s="6">
        <v>10</v>
      </c>
      <c r="AV2" s="9">
        <v>9</v>
      </c>
      <c r="AW2" s="9">
        <v>9</v>
      </c>
      <c r="AX2" s="9">
        <v>9</v>
      </c>
      <c r="AY2" s="9">
        <v>10</v>
      </c>
      <c r="AZ2" s="9">
        <v>10</v>
      </c>
      <c r="BA2" s="9">
        <v>10</v>
      </c>
      <c r="BB2" s="9">
        <v>9</v>
      </c>
      <c r="BC2" s="9">
        <v>9</v>
      </c>
      <c r="BD2" s="9">
        <v>9</v>
      </c>
      <c r="BE2" s="9">
        <v>9</v>
      </c>
      <c r="BF2" s="9">
        <v>9</v>
      </c>
      <c r="BG2" s="9">
        <v>9</v>
      </c>
      <c r="BH2" s="9">
        <v>10</v>
      </c>
      <c r="BI2" s="9">
        <v>10</v>
      </c>
      <c r="BJ2" s="9">
        <v>10</v>
      </c>
      <c r="BK2" s="9">
        <v>9</v>
      </c>
      <c r="BL2" s="6">
        <f>AR2+AV2+AZ2+BD2+BH2</f>
        <v>48</v>
      </c>
      <c r="BM2" s="6">
        <f>AS2+AW2+BA2+BE2+BI2</f>
        <v>48</v>
      </c>
      <c r="BN2" s="6">
        <f>AT2+AX2+BB2+BF2+BJ2</f>
        <v>47</v>
      </c>
      <c r="BO2" s="6">
        <f>AU2+AY2+BC2+BG2+BK2</f>
        <v>47</v>
      </c>
    </row>
    <row r="3" spans="1:67" ht="15.6" x14ac:dyDescent="0.3">
      <c r="A3" s="4">
        <v>2</v>
      </c>
      <c r="B3" s="5" t="s">
        <v>27</v>
      </c>
      <c r="C3" s="5">
        <v>2025160146</v>
      </c>
      <c r="D3" s="4" t="s">
        <v>24</v>
      </c>
      <c r="E3" s="4">
        <v>52</v>
      </c>
      <c r="F3" s="4" t="s">
        <v>28</v>
      </c>
      <c r="G3" s="4" t="s">
        <v>29</v>
      </c>
      <c r="H3" s="6" t="s">
        <v>95</v>
      </c>
      <c r="I3" s="6" t="s">
        <v>96</v>
      </c>
      <c r="J3" s="6" t="s">
        <v>96</v>
      </c>
      <c r="K3" s="6" t="s">
        <v>96</v>
      </c>
      <c r="L3" s="6" t="s">
        <v>95</v>
      </c>
      <c r="M3" s="6" t="s">
        <v>96</v>
      </c>
      <c r="N3" s="6" t="s">
        <v>96</v>
      </c>
      <c r="O3" s="6" t="s">
        <v>96</v>
      </c>
      <c r="P3" s="6">
        <v>20</v>
      </c>
      <c r="Q3" s="6">
        <v>19</v>
      </c>
      <c r="R3" s="6">
        <v>1</v>
      </c>
      <c r="S3" s="7">
        <v>0.95</v>
      </c>
      <c r="T3" s="6" t="s">
        <v>126</v>
      </c>
      <c r="U3" s="6" t="s">
        <v>126</v>
      </c>
      <c r="V3" s="6" t="s">
        <v>126</v>
      </c>
      <c r="W3" s="6" t="s">
        <v>126</v>
      </c>
      <c r="X3" s="6" t="s">
        <v>126</v>
      </c>
      <c r="Y3" s="6">
        <v>659</v>
      </c>
      <c r="Z3" s="6" t="s">
        <v>126</v>
      </c>
      <c r="AA3" s="6" t="s">
        <v>126</v>
      </c>
      <c r="AB3" s="6" t="s">
        <v>126</v>
      </c>
      <c r="AC3" s="6" t="s">
        <v>126</v>
      </c>
      <c r="AD3" s="6" t="s">
        <v>126</v>
      </c>
      <c r="AE3" s="6">
        <v>705</v>
      </c>
      <c r="AF3" s="6" t="s">
        <v>97</v>
      </c>
      <c r="AG3" s="6">
        <v>85</v>
      </c>
      <c r="AH3" s="6">
        <v>113</v>
      </c>
      <c r="AI3" s="6">
        <v>259</v>
      </c>
      <c r="AJ3" s="6">
        <v>457</v>
      </c>
      <c r="AK3" s="6">
        <v>690</v>
      </c>
      <c r="AL3" s="6" t="s">
        <v>98</v>
      </c>
      <c r="AM3" s="6">
        <v>75</v>
      </c>
      <c r="AN3" s="6">
        <v>103</v>
      </c>
      <c r="AO3" s="6">
        <v>297</v>
      </c>
      <c r="AP3" s="6">
        <v>475</v>
      </c>
      <c r="AQ3" s="6">
        <v>632</v>
      </c>
      <c r="AR3" s="6">
        <v>8</v>
      </c>
      <c r="AS3" s="6">
        <v>8</v>
      </c>
      <c r="AT3" s="6">
        <v>8</v>
      </c>
      <c r="AU3" s="6">
        <v>8</v>
      </c>
      <c r="AV3" s="9">
        <v>9</v>
      </c>
      <c r="AW3" s="9">
        <v>8</v>
      </c>
      <c r="AX3" s="9">
        <v>8</v>
      </c>
      <c r="AY3" s="9">
        <v>8</v>
      </c>
      <c r="AZ3" s="9">
        <v>10</v>
      </c>
      <c r="BA3" s="9">
        <v>9</v>
      </c>
      <c r="BB3" s="9">
        <v>9</v>
      </c>
      <c r="BC3" s="9">
        <v>8</v>
      </c>
      <c r="BD3" s="9">
        <v>9</v>
      </c>
      <c r="BE3" s="9">
        <v>9</v>
      </c>
      <c r="BF3" s="9">
        <v>9</v>
      </c>
      <c r="BG3" s="9">
        <v>9</v>
      </c>
      <c r="BH3" s="9">
        <v>9</v>
      </c>
      <c r="BI3" s="9">
        <v>10</v>
      </c>
      <c r="BJ3" s="9">
        <v>8</v>
      </c>
      <c r="BK3" s="9">
        <v>8</v>
      </c>
      <c r="BL3" s="6">
        <f>AR3+AV3+AZ3+BD3+BH3</f>
        <v>45</v>
      </c>
      <c r="BM3" s="6">
        <f>AS3+AW3+BA3+BE3+BI3</f>
        <v>44</v>
      </c>
      <c r="BN3" s="6">
        <f>AT3+AX3+BB3+BF3+BJ3</f>
        <v>42</v>
      </c>
      <c r="BO3" s="6">
        <f>AU3+AY3+BC3+BG3+BK3</f>
        <v>41</v>
      </c>
    </row>
    <row r="4" spans="1:67" ht="15.6" x14ac:dyDescent="0.3">
      <c r="A4" s="4">
        <v>3</v>
      </c>
      <c r="B4" s="5" t="s">
        <v>30</v>
      </c>
      <c r="C4" s="5">
        <v>2025160093</v>
      </c>
      <c r="D4" s="4" t="s">
        <v>24</v>
      </c>
      <c r="E4" s="4">
        <v>52</v>
      </c>
      <c r="F4" s="4" t="s">
        <v>31</v>
      </c>
      <c r="G4" s="4" t="s">
        <v>32</v>
      </c>
      <c r="H4" s="6" t="s">
        <v>95</v>
      </c>
      <c r="I4" s="6" t="s">
        <v>96</v>
      </c>
      <c r="J4" s="6" t="s">
        <v>96</v>
      </c>
      <c r="K4" s="6" t="s">
        <v>96</v>
      </c>
      <c r="L4" s="6">
        <v>13</v>
      </c>
      <c r="M4" s="6">
        <v>12</v>
      </c>
      <c r="N4" s="6">
        <v>1</v>
      </c>
      <c r="O4" s="7">
        <v>0.92307692307692313</v>
      </c>
      <c r="P4" s="6">
        <v>22</v>
      </c>
      <c r="Q4" s="6">
        <v>22</v>
      </c>
      <c r="R4" s="6">
        <v>0</v>
      </c>
      <c r="S4" s="7">
        <v>1</v>
      </c>
      <c r="T4" s="6" t="s">
        <v>126</v>
      </c>
      <c r="U4" s="6" t="s">
        <v>126</v>
      </c>
      <c r="V4" s="6" t="s">
        <v>126</v>
      </c>
      <c r="W4" s="6" t="s">
        <v>126</v>
      </c>
      <c r="X4" s="6" t="s">
        <v>126</v>
      </c>
      <c r="Y4" s="6">
        <v>659</v>
      </c>
      <c r="Z4" s="6" t="s">
        <v>126</v>
      </c>
      <c r="AA4" s="6" t="s">
        <v>126</v>
      </c>
      <c r="AB4" s="6" t="s">
        <v>126</v>
      </c>
      <c r="AC4" s="6" t="s">
        <v>126</v>
      </c>
      <c r="AD4" s="6" t="s">
        <v>126</v>
      </c>
      <c r="AE4" s="6">
        <v>705</v>
      </c>
      <c r="AF4" s="6" t="s">
        <v>99</v>
      </c>
      <c r="AG4" s="6">
        <v>48</v>
      </c>
      <c r="AH4" s="6">
        <v>54</v>
      </c>
      <c r="AI4" s="6">
        <v>149</v>
      </c>
      <c r="AJ4" s="6">
        <v>251</v>
      </c>
      <c r="AK4" s="6">
        <v>690</v>
      </c>
      <c r="AL4" s="6" t="s">
        <v>100</v>
      </c>
      <c r="AM4" s="6">
        <v>28</v>
      </c>
      <c r="AN4" s="6">
        <v>60</v>
      </c>
      <c r="AO4" s="6">
        <v>198</v>
      </c>
      <c r="AP4" s="6">
        <v>286</v>
      </c>
      <c r="AQ4" s="6">
        <v>632</v>
      </c>
      <c r="AR4" s="6">
        <v>8</v>
      </c>
      <c r="AS4" s="6">
        <v>8</v>
      </c>
      <c r="AT4" s="6">
        <v>8</v>
      </c>
      <c r="AU4" s="6">
        <v>8</v>
      </c>
      <c r="AV4" s="9">
        <v>8</v>
      </c>
      <c r="AW4" s="9">
        <v>9</v>
      </c>
      <c r="AX4" s="9">
        <v>9</v>
      </c>
      <c r="AY4" s="9">
        <v>8</v>
      </c>
      <c r="AZ4" s="9">
        <v>8</v>
      </c>
      <c r="BA4" s="9">
        <v>8</v>
      </c>
      <c r="BB4" s="9">
        <v>8</v>
      </c>
      <c r="BC4" s="9">
        <v>8</v>
      </c>
      <c r="BD4" s="9">
        <v>9</v>
      </c>
      <c r="BE4" s="9">
        <v>9</v>
      </c>
      <c r="BF4" s="9">
        <v>9</v>
      </c>
      <c r="BG4" s="9">
        <v>9</v>
      </c>
      <c r="BH4" s="9">
        <v>8</v>
      </c>
      <c r="BI4" s="9">
        <v>8</v>
      </c>
      <c r="BJ4" s="9">
        <v>8</v>
      </c>
      <c r="BK4" s="9">
        <v>9</v>
      </c>
      <c r="BL4" s="6">
        <f>AR4+AV4+AZ4+BD4+BH4</f>
        <v>41</v>
      </c>
      <c r="BM4" s="6">
        <f>AS4+AW4+BA4+BE4+BI4</f>
        <v>42</v>
      </c>
      <c r="BN4" s="6">
        <f>AT4+AX4+BB4+BF4+BJ4</f>
        <v>42</v>
      </c>
      <c r="BO4" s="6">
        <f>AU4+AY4+BC4+BG4+BK4</f>
        <v>42</v>
      </c>
    </row>
    <row r="5" spans="1:67" ht="15.6" x14ac:dyDescent="0.3">
      <c r="A5" s="4">
        <v>4</v>
      </c>
      <c r="B5" s="5" t="s">
        <v>33</v>
      </c>
      <c r="C5" s="5">
        <v>2025160080</v>
      </c>
      <c r="D5" s="4" t="s">
        <v>24</v>
      </c>
      <c r="E5" s="4">
        <v>52</v>
      </c>
      <c r="F5" s="4" t="s">
        <v>34</v>
      </c>
      <c r="G5" s="4" t="s">
        <v>35</v>
      </c>
      <c r="H5" s="6">
        <v>1</v>
      </c>
      <c r="I5" s="6">
        <v>1</v>
      </c>
      <c r="J5" s="6">
        <v>0</v>
      </c>
      <c r="K5" s="7">
        <v>1</v>
      </c>
      <c r="L5" s="6">
        <v>18</v>
      </c>
      <c r="M5" s="6">
        <v>18</v>
      </c>
      <c r="N5" s="6">
        <v>0</v>
      </c>
      <c r="O5" s="7">
        <v>1</v>
      </c>
      <c r="P5" s="6">
        <v>22</v>
      </c>
      <c r="Q5" s="6">
        <v>22</v>
      </c>
      <c r="R5" s="6">
        <v>0</v>
      </c>
      <c r="S5" s="7">
        <v>1</v>
      </c>
      <c r="T5" s="6" t="s">
        <v>101</v>
      </c>
      <c r="U5" s="6">
        <v>122</v>
      </c>
      <c r="V5" s="6">
        <v>139</v>
      </c>
      <c r="W5" s="6">
        <v>285</v>
      </c>
      <c r="X5" s="6">
        <v>546</v>
      </c>
      <c r="Y5" s="6">
        <v>659</v>
      </c>
      <c r="Z5" s="6" t="s">
        <v>102</v>
      </c>
      <c r="AA5" s="6">
        <v>148</v>
      </c>
      <c r="AB5" s="6">
        <v>175</v>
      </c>
      <c r="AC5" s="6">
        <v>336</v>
      </c>
      <c r="AD5" s="6">
        <v>659</v>
      </c>
      <c r="AE5" s="6">
        <v>705</v>
      </c>
      <c r="AF5" s="6" t="s">
        <v>103</v>
      </c>
      <c r="AG5" s="6">
        <v>143</v>
      </c>
      <c r="AH5" s="6">
        <v>158</v>
      </c>
      <c r="AI5" s="6">
        <v>319</v>
      </c>
      <c r="AJ5" s="6">
        <v>620</v>
      </c>
      <c r="AK5" s="6">
        <v>690</v>
      </c>
      <c r="AL5" s="6" t="s">
        <v>104</v>
      </c>
      <c r="AM5" s="6">
        <v>137</v>
      </c>
      <c r="AN5" s="6">
        <v>143</v>
      </c>
      <c r="AO5" s="6">
        <v>319</v>
      </c>
      <c r="AP5" s="6">
        <v>599</v>
      </c>
      <c r="AQ5" s="6">
        <v>632</v>
      </c>
      <c r="AR5" s="6">
        <v>9</v>
      </c>
      <c r="AS5" s="6">
        <v>10</v>
      </c>
      <c r="AT5" s="6">
        <v>9</v>
      </c>
      <c r="AU5" s="6">
        <v>10</v>
      </c>
      <c r="AV5" s="9">
        <v>9</v>
      </c>
      <c r="AW5" s="9">
        <v>8</v>
      </c>
      <c r="AX5" s="9">
        <v>8</v>
      </c>
      <c r="AY5" s="9">
        <v>9</v>
      </c>
      <c r="AZ5" s="9">
        <v>9</v>
      </c>
      <c r="BA5" s="9">
        <v>9</v>
      </c>
      <c r="BB5" s="9">
        <v>9</v>
      </c>
      <c r="BC5" s="9">
        <v>9</v>
      </c>
      <c r="BD5" s="9">
        <v>9</v>
      </c>
      <c r="BE5" s="9">
        <v>9</v>
      </c>
      <c r="BF5" s="9">
        <v>9</v>
      </c>
      <c r="BG5" s="9">
        <v>9</v>
      </c>
      <c r="BH5" s="9">
        <v>9</v>
      </c>
      <c r="BI5" s="9">
        <v>9</v>
      </c>
      <c r="BJ5" s="9">
        <v>10</v>
      </c>
      <c r="BK5" s="9">
        <v>10</v>
      </c>
      <c r="BL5" s="6">
        <f>AR5+AV5+AZ5+BD5+BH5</f>
        <v>45</v>
      </c>
      <c r="BM5" s="6">
        <f>AS5+AW5+BA5+BE5+BI5</f>
        <v>45</v>
      </c>
      <c r="BN5" s="6">
        <f>AT5+AX5+BB5+BF5+BJ5</f>
        <v>45</v>
      </c>
      <c r="BO5" s="6">
        <f>AU5+AY5+BC5+BG5+BK5</f>
        <v>47</v>
      </c>
    </row>
    <row r="6" spans="1:67" ht="15.6" x14ac:dyDescent="0.3">
      <c r="A6" s="4">
        <v>5</v>
      </c>
      <c r="B6" s="5" t="s">
        <v>36</v>
      </c>
      <c r="C6" s="5">
        <v>2025160057</v>
      </c>
      <c r="D6" s="4" t="s">
        <v>24</v>
      </c>
      <c r="E6" s="4">
        <v>52</v>
      </c>
      <c r="F6" s="4" t="s">
        <v>37</v>
      </c>
      <c r="G6" s="4" t="s">
        <v>38</v>
      </c>
      <c r="H6" s="6">
        <v>6</v>
      </c>
      <c r="I6" s="6">
        <v>6</v>
      </c>
      <c r="J6" s="6">
        <v>0</v>
      </c>
      <c r="K6" s="7">
        <v>1</v>
      </c>
      <c r="L6" s="6">
        <v>18</v>
      </c>
      <c r="M6" s="6">
        <v>18</v>
      </c>
      <c r="N6" s="6">
        <v>0</v>
      </c>
      <c r="O6" s="7">
        <v>1</v>
      </c>
      <c r="P6" s="6">
        <v>22</v>
      </c>
      <c r="Q6" s="6">
        <v>21</v>
      </c>
      <c r="R6" s="6">
        <v>1</v>
      </c>
      <c r="S6" s="7">
        <v>0.95454545454545459</v>
      </c>
      <c r="T6" s="6" t="s">
        <v>105</v>
      </c>
      <c r="U6" s="6">
        <v>25</v>
      </c>
      <c r="V6" s="6">
        <v>100</v>
      </c>
      <c r="W6" s="6">
        <v>115</v>
      </c>
      <c r="X6" s="6">
        <v>240</v>
      </c>
      <c r="Y6" s="6">
        <v>659</v>
      </c>
      <c r="Z6" s="6" t="s">
        <v>106</v>
      </c>
      <c r="AA6" s="6">
        <v>20</v>
      </c>
      <c r="AB6" s="6">
        <v>95</v>
      </c>
      <c r="AC6" s="6">
        <v>198</v>
      </c>
      <c r="AD6" s="6">
        <v>313</v>
      </c>
      <c r="AE6" s="6">
        <v>705</v>
      </c>
      <c r="AF6" s="6" t="s">
        <v>107</v>
      </c>
      <c r="AG6" s="6">
        <v>10</v>
      </c>
      <c r="AH6" s="6">
        <v>37</v>
      </c>
      <c r="AI6" s="6">
        <v>170</v>
      </c>
      <c r="AJ6" s="6">
        <v>217</v>
      </c>
      <c r="AK6" s="6">
        <v>690</v>
      </c>
      <c r="AL6" s="6" t="s">
        <v>108</v>
      </c>
      <c r="AM6" s="6">
        <v>46</v>
      </c>
      <c r="AN6" s="6">
        <v>55</v>
      </c>
      <c r="AO6" s="6">
        <v>192</v>
      </c>
      <c r="AP6" s="6">
        <v>293</v>
      </c>
      <c r="AQ6" s="6">
        <v>632</v>
      </c>
      <c r="AR6" s="6">
        <v>9</v>
      </c>
      <c r="AS6" s="6">
        <v>10</v>
      </c>
      <c r="AT6" s="6">
        <v>9</v>
      </c>
      <c r="AU6" s="6">
        <v>10</v>
      </c>
      <c r="AV6" s="9">
        <v>9</v>
      </c>
      <c r="AW6" s="9">
        <v>9</v>
      </c>
      <c r="AX6" s="9">
        <v>9</v>
      </c>
      <c r="AY6" s="9">
        <v>9</v>
      </c>
      <c r="AZ6" s="9">
        <v>9</v>
      </c>
      <c r="BA6" s="9">
        <v>9</v>
      </c>
      <c r="BB6" s="9">
        <v>9</v>
      </c>
      <c r="BC6" s="9">
        <v>9</v>
      </c>
      <c r="BD6" s="9">
        <v>9</v>
      </c>
      <c r="BE6" s="9">
        <v>9</v>
      </c>
      <c r="BF6" s="9">
        <v>9</v>
      </c>
      <c r="BG6" s="9">
        <v>9</v>
      </c>
      <c r="BH6" s="9">
        <v>8</v>
      </c>
      <c r="BI6" s="9">
        <v>8</v>
      </c>
      <c r="BJ6" s="9">
        <v>8</v>
      </c>
      <c r="BK6" s="9">
        <v>8</v>
      </c>
      <c r="BL6" s="6">
        <f>AR6+AV6+AZ6+BD6+BH6</f>
        <v>44</v>
      </c>
      <c r="BM6" s="6">
        <f>AS6+AW6+BA6+BE6+BI6</f>
        <v>45</v>
      </c>
      <c r="BN6" s="6">
        <f>AT6+AX6+BB6+BF6+BJ6</f>
        <v>44</v>
      </c>
      <c r="BO6" s="6">
        <f>AU6+AY6+BC6+BG6+BK6</f>
        <v>45</v>
      </c>
    </row>
    <row r="7" spans="1:67" ht="15.6" x14ac:dyDescent="0.3">
      <c r="A7" s="4">
        <v>6</v>
      </c>
      <c r="B7" s="5" t="s">
        <v>39</v>
      </c>
      <c r="C7" s="5">
        <v>2025160063</v>
      </c>
      <c r="D7" s="4" t="s">
        <v>24</v>
      </c>
      <c r="E7" s="4">
        <v>52</v>
      </c>
      <c r="F7" s="4" t="s">
        <v>40</v>
      </c>
      <c r="G7" s="4" t="s">
        <v>41</v>
      </c>
      <c r="H7" s="6">
        <v>5</v>
      </c>
      <c r="I7" s="6">
        <v>5</v>
      </c>
      <c r="J7" s="6">
        <v>0</v>
      </c>
      <c r="K7" s="7">
        <v>1</v>
      </c>
      <c r="L7" s="6">
        <v>18</v>
      </c>
      <c r="M7" s="6">
        <v>18</v>
      </c>
      <c r="N7" s="6">
        <v>0</v>
      </c>
      <c r="O7" s="7">
        <v>1</v>
      </c>
      <c r="P7" s="6">
        <v>22</v>
      </c>
      <c r="Q7" s="6">
        <v>21</v>
      </c>
      <c r="R7" s="6">
        <v>1</v>
      </c>
      <c r="S7" s="7">
        <v>0.95454545454545459</v>
      </c>
      <c r="T7" s="6" t="s">
        <v>109</v>
      </c>
      <c r="U7" s="6">
        <v>140</v>
      </c>
      <c r="V7" s="6">
        <v>165</v>
      </c>
      <c r="W7" s="6">
        <v>345</v>
      </c>
      <c r="X7" s="6">
        <v>650</v>
      </c>
      <c r="Y7" s="6">
        <v>659</v>
      </c>
      <c r="Z7" s="6" t="s">
        <v>110</v>
      </c>
      <c r="AA7" s="6">
        <v>137</v>
      </c>
      <c r="AB7" s="6">
        <v>165</v>
      </c>
      <c r="AC7" s="6">
        <v>336</v>
      </c>
      <c r="AD7" s="6">
        <v>638</v>
      </c>
      <c r="AE7" s="6">
        <v>705</v>
      </c>
      <c r="AF7" s="6" t="s">
        <v>111</v>
      </c>
      <c r="AG7" s="6">
        <v>155</v>
      </c>
      <c r="AH7" s="6">
        <v>145</v>
      </c>
      <c r="AI7" s="6">
        <v>340</v>
      </c>
      <c r="AJ7" s="6">
        <v>640</v>
      </c>
      <c r="AK7" s="6">
        <v>690</v>
      </c>
      <c r="AL7" s="6" t="s">
        <v>112</v>
      </c>
      <c r="AM7" s="6">
        <v>113</v>
      </c>
      <c r="AN7" s="6">
        <v>151</v>
      </c>
      <c r="AO7" s="6">
        <v>311</v>
      </c>
      <c r="AP7" s="6">
        <v>575</v>
      </c>
      <c r="AQ7" s="6">
        <v>632</v>
      </c>
      <c r="AR7" s="6">
        <v>10</v>
      </c>
      <c r="AS7" s="6">
        <v>10</v>
      </c>
      <c r="AT7" s="6">
        <v>10</v>
      </c>
      <c r="AU7" s="6">
        <v>10</v>
      </c>
      <c r="AV7" s="9">
        <v>10</v>
      </c>
      <c r="AW7" s="9">
        <v>10</v>
      </c>
      <c r="AX7" s="9">
        <v>10</v>
      </c>
      <c r="AY7" s="9">
        <v>10</v>
      </c>
      <c r="AZ7" s="9">
        <v>10</v>
      </c>
      <c r="BA7" s="9">
        <v>10</v>
      </c>
      <c r="BB7" s="9">
        <v>10</v>
      </c>
      <c r="BC7" s="9">
        <v>10</v>
      </c>
      <c r="BD7" s="9">
        <v>10</v>
      </c>
      <c r="BE7" s="9">
        <v>10</v>
      </c>
      <c r="BF7" s="9">
        <v>10</v>
      </c>
      <c r="BG7" s="9">
        <v>10</v>
      </c>
      <c r="BH7" s="9">
        <v>10</v>
      </c>
      <c r="BI7" s="9">
        <v>10</v>
      </c>
      <c r="BJ7" s="9">
        <v>10</v>
      </c>
      <c r="BK7" s="9">
        <v>10</v>
      </c>
      <c r="BL7" s="6">
        <f>AR7+AV7+AZ7+BD7+BH7</f>
        <v>50</v>
      </c>
      <c r="BM7" s="6">
        <f>AS7+AW7+BA7+BE7+BI7</f>
        <v>50</v>
      </c>
      <c r="BN7" s="6">
        <f>AT7+AX7+BB7+BF7+BJ7</f>
        <v>50</v>
      </c>
      <c r="BO7" s="6">
        <f>AU7+AY7+BC7+BG7+BK7</f>
        <v>50</v>
      </c>
    </row>
    <row r="8" spans="1:67" ht="15.6" x14ac:dyDescent="0.3">
      <c r="A8" s="4">
        <v>7</v>
      </c>
      <c r="B8" s="5" t="s">
        <v>42</v>
      </c>
      <c r="C8" s="5">
        <v>2025160054</v>
      </c>
      <c r="D8" s="4" t="s">
        <v>24</v>
      </c>
      <c r="E8" s="4">
        <v>52</v>
      </c>
      <c r="F8" s="4" t="s">
        <v>43</v>
      </c>
      <c r="G8" s="4" t="s">
        <v>44</v>
      </c>
      <c r="H8" s="6">
        <v>7</v>
      </c>
      <c r="I8" s="6">
        <v>7</v>
      </c>
      <c r="J8" s="6">
        <v>0</v>
      </c>
      <c r="K8" s="7">
        <v>1</v>
      </c>
      <c r="L8" s="6">
        <v>18</v>
      </c>
      <c r="M8" s="6">
        <v>18</v>
      </c>
      <c r="N8" s="6">
        <v>0</v>
      </c>
      <c r="O8" s="7">
        <v>1</v>
      </c>
      <c r="P8" s="6">
        <v>22</v>
      </c>
      <c r="Q8" s="6">
        <v>18</v>
      </c>
      <c r="R8" s="6">
        <v>4</v>
      </c>
      <c r="S8" s="7">
        <v>0.81818181818181823</v>
      </c>
      <c r="T8" s="6" t="s">
        <v>113</v>
      </c>
      <c r="U8" s="6">
        <v>91</v>
      </c>
      <c r="V8" s="6">
        <v>130</v>
      </c>
      <c r="W8" s="6">
        <v>286</v>
      </c>
      <c r="X8" s="6">
        <v>507</v>
      </c>
      <c r="Y8" s="6">
        <v>659</v>
      </c>
      <c r="Z8" s="6" t="s">
        <v>114</v>
      </c>
      <c r="AA8" s="6">
        <v>99</v>
      </c>
      <c r="AB8" s="6">
        <v>144</v>
      </c>
      <c r="AC8" s="6">
        <v>331</v>
      </c>
      <c r="AD8" s="6">
        <v>574</v>
      </c>
      <c r="AE8" s="6">
        <v>705</v>
      </c>
      <c r="AF8" s="6" t="s">
        <v>115</v>
      </c>
      <c r="AG8" s="6">
        <v>74</v>
      </c>
      <c r="AH8" s="6">
        <v>108</v>
      </c>
      <c r="AI8" s="6">
        <v>287</v>
      </c>
      <c r="AJ8" s="6">
        <v>469</v>
      </c>
      <c r="AK8" s="6">
        <v>690</v>
      </c>
      <c r="AL8" s="6" t="s">
        <v>116</v>
      </c>
      <c r="AM8" s="6">
        <v>44</v>
      </c>
      <c r="AN8" s="6">
        <v>101</v>
      </c>
      <c r="AO8" s="6">
        <v>294</v>
      </c>
      <c r="AP8" s="6">
        <v>439</v>
      </c>
      <c r="AQ8" s="6">
        <v>632</v>
      </c>
      <c r="AR8" s="6">
        <v>10</v>
      </c>
      <c r="AS8" s="6">
        <v>10</v>
      </c>
      <c r="AT8" s="6">
        <v>10</v>
      </c>
      <c r="AU8" s="6">
        <v>10</v>
      </c>
      <c r="AV8" s="9">
        <v>10</v>
      </c>
      <c r="AW8" s="9">
        <v>10</v>
      </c>
      <c r="AX8" s="9">
        <v>10</v>
      </c>
      <c r="AY8" s="9">
        <v>10</v>
      </c>
      <c r="AZ8" s="9">
        <v>9</v>
      </c>
      <c r="BA8" s="9">
        <v>10</v>
      </c>
      <c r="BB8" s="9">
        <v>10</v>
      </c>
      <c r="BC8" s="9">
        <v>9</v>
      </c>
      <c r="BD8" s="9">
        <v>9</v>
      </c>
      <c r="BE8" s="9">
        <v>9</v>
      </c>
      <c r="BF8" s="9">
        <v>9</v>
      </c>
      <c r="BG8" s="9">
        <v>9</v>
      </c>
      <c r="BH8" s="9">
        <v>10</v>
      </c>
      <c r="BI8" s="9">
        <v>10</v>
      </c>
      <c r="BJ8" s="9">
        <v>10</v>
      </c>
      <c r="BK8" s="9">
        <v>10</v>
      </c>
      <c r="BL8" s="6">
        <f>AR8+AV8+AZ8+BD8+BH8</f>
        <v>48</v>
      </c>
      <c r="BM8" s="6">
        <f>AS8+AW8+BA8+BE8+BI8</f>
        <v>49</v>
      </c>
      <c r="BN8" s="6">
        <f>AT8+AX8+BB8+BF8+BJ8</f>
        <v>49</v>
      </c>
      <c r="BO8" s="6">
        <f>AU8+AY8+BC8+BG8+BK8</f>
        <v>48</v>
      </c>
    </row>
    <row r="9" spans="1:67" ht="15.6" x14ac:dyDescent="0.3">
      <c r="A9" s="4">
        <v>8</v>
      </c>
      <c r="B9" s="5" t="s">
        <v>45</v>
      </c>
      <c r="C9" s="5">
        <v>2025160094</v>
      </c>
      <c r="D9" s="4" t="s">
        <v>24</v>
      </c>
      <c r="E9" s="4">
        <v>52</v>
      </c>
      <c r="F9" s="4" t="s">
        <v>46</v>
      </c>
      <c r="G9" s="4" t="s">
        <v>47</v>
      </c>
      <c r="H9" s="6" t="s">
        <v>95</v>
      </c>
      <c r="I9" s="6" t="s">
        <v>96</v>
      </c>
      <c r="J9" s="6" t="s">
        <v>96</v>
      </c>
      <c r="K9" s="6" t="s">
        <v>96</v>
      </c>
      <c r="L9" s="6">
        <v>13</v>
      </c>
      <c r="M9" s="6">
        <v>13</v>
      </c>
      <c r="N9" s="6">
        <v>0</v>
      </c>
      <c r="O9" s="7">
        <v>1</v>
      </c>
      <c r="P9" s="6">
        <v>22</v>
      </c>
      <c r="Q9" s="6">
        <v>22</v>
      </c>
      <c r="R9" s="6">
        <v>0</v>
      </c>
      <c r="S9" s="7">
        <v>1</v>
      </c>
      <c r="T9" s="6" t="s">
        <v>117</v>
      </c>
      <c r="U9" s="6">
        <v>107</v>
      </c>
      <c r="V9" s="6">
        <v>125</v>
      </c>
      <c r="W9" s="6">
        <v>220</v>
      </c>
      <c r="X9" s="6">
        <v>452</v>
      </c>
      <c r="Y9" s="6">
        <v>659</v>
      </c>
      <c r="Z9" s="6" t="s">
        <v>118</v>
      </c>
      <c r="AA9" s="6">
        <v>87</v>
      </c>
      <c r="AB9" s="6">
        <v>157</v>
      </c>
      <c r="AC9" s="6">
        <v>291</v>
      </c>
      <c r="AD9" s="6">
        <v>535</v>
      </c>
      <c r="AE9" s="6">
        <v>705</v>
      </c>
      <c r="AF9" s="6" t="s">
        <v>119</v>
      </c>
      <c r="AG9" s="6">
        <v>116</v>
      </c>
      <c r="AH9" s="6">
        <v>122</v>
      </c>
      <c r="AI9" s="6">
        <v>338</v>
      </c>
      <c r="AJ9" s="6">
        <v>576</v>
      </c>
      <c r="AK9" s="6">
        <v>690</v>
      </c>
      <c r="AL9" s="6" t="s">
        <v>120</v>
      </c>
      <c r="AM9" s="6">
        <v>33</v>
      </c>
      <c r="AN9" s="6">
        <v>107</v>
      </c>
      <c r="AO9" s="6">
        <v>323</v>
      </c>
      <c r="AP9" s="6">
        <v>463</v>
      </c>
      <c r="AQ9" s="6">
        <v>632</v>
      </c>
      <c r="AR9" s="6">
        <v>9</v>
      </c>
      <c r="AS9" s="6">
        <v>10</v>
      </c>
      <c r="AT9" s="6">
        <v>9</v>
      </c>
      <c r="AU9" s="6">
        <v>10</v>
      </c>
      <c r="AV9" s="9">
        <v>9</v>
      </c>
      <c r="AW9" s="9">
        <v>8</v>
      </c>
      <c r="AX9" s="9">
        <v>9</v>
      </c>
      <c r="AY9" s="9">
        <v>9</v>
      </c>
      <c r="AZ9" s="9">
        <v>9</v>
      </c>
      <c r="BA9" s="9">
        <v>9</v>
      </c>
      <c r="BB9" s="9">
        <v>9</v>
      </c>
      <c r="BC9" s="9">
        <v>9</v>
      </c>
      <c r="BD9" s="9">
        <v>8</v>
      </c>
      <c r="BE9" s="9">
        <v>8</v>
      </c>
      <c r="BF9" s="9">
        <v>8</v>
      </c>
      <c r="BG9" s="9">
        <v>8</v>
      </c>
      <c r="BH9" s="9">
        <v>9</v>
      </c>
      <c r="BI9" s="9">
        <v>10</v>
      </c>
      <c r="BJ9" s="9">
        <v>9</v>
      </c>
      <c r="BK9" s="9">
        <v>10</v>
      </c>
      <c r="BL9" s="6">
        <f>AR9+AV9+AZ9+BD9+BH9</f>
        <v>44</v>
      </c>
      <c r="BM9" s="6">
        <f>AS9+AW9+BA9+BE9+BI9</f>
        <v>45</v>
      </c>
      <c r="BN9" s="6">
        <f>AT9+AX9+BB9+BF9+BJ9</f>
        <v>44</v>
      </c>
      <c r="BO9" s="6">
        <f>AU9+AY9+BC9+BG9+BK9</f>
        <v>46</v>
      </c>
    </row>
    <row r="10" spans="1:67" ht="15.6" x14ac:dyDescent="0.3">
      <c r="A10" s="4">
        <v>9</v>
      </c>
      <c r="B10" s="5" t="s">
        <v>48</v>
      </c>
      <c r="C10" s="5">
        <v>2025160048</v>
      </c>
      <c r="D10" s="4" t="s">
        <v>24</v>
      </c>
      <c r="E10" s="4">
        <v>52</v>
      </c>
      <c r="F10" s="4" t="s">
        <v>49</v>
      </c>
      <c r="G10" s="4" t="s">
        <v>50</v>
      </c>
      <c r="H10" s="6">
        <v>8</v>
      </c>
      <c r="I10" s="6">
        <v>8</v>
      </c>
      <c r="J10" s="6">
        <v>0</v>
      </c>
      <c r="K10" s="7">
        <v>1</v>
      </c>
      <c r="L10" s="6">
        <v>18</v>
      </c>
      <c r="M10" s="6">
        <v>16</v>
      </c>
      <c r="N10" s="6">
        <v>2</v>
      </c>
      <c r="O10" s="7">
        <v>0.88888888888888884</v>
      </c>
      <c r="P10" s="6">
        <v>22</v>
      </c>
      <c r="Q10" s="6">
        <v>7</v>
      </c>
      <c r="R10" s="6">
        <v>15</v>
      </c>
      <c r="S10" s="7">
        <v>0.31818181818181818</v>
      </c>
      <c r="T10" s="6" t="s">
        <v>121</v>
      </c>
      <c r="U10" s="6">
        <v>43</v>
      </c>
      <c r="V10" s="6">
        <v>79</v>
      </c>
      <c r="W10" s="6">
        <v>248</v>
      </c>
      <c r="X10" s="6">
        <v>370</v>
      </c>
      <c r="Y10" s="6">
        <v>659</v>
      </c>
      <c r="Z10" s="6" t="s">
        <v>122</v>
      </c>
      <c r="AA10" s="6">
        <v>18</v>
      </c>
      <c r="AB10" s="6">
        <v>85</v>
      </c>
      <c r="AC10" s="6">
        <v>262</v>
      </c>
      <c r="AD10" s="6">
        <v>365</v>
      </c>
      <c r="AE10" s="6">
        <v>705</v>
      </c>
      <c r="AF10" s="6" t="s">
        <v>126</v>
      </c>
      <c r="AG10" s="6" t="s">
        <v>126</v>
      </c>
      <c r="AH10" s="6" t="s">
        <v>126</v>
      </c>
      <c r="AI10" s="6" t="s">
        <v>126</v>
      </c>
      <c r="AJ10" s="6" t="s">
        <v>126</v>
      </c>
      <c r="AK10" s="6">
        <v>690</v>
      </c>
      <c r="AL10" s="6" t="s">
        <v>126</v>
      </c>
      <c r="AM10" s="6" t="s">
        <v>126</v>
      </c>
      <c r="AN10" s="6" t="s">
        <v>126</v>
      </c>
      <c r="AO10" s="6" t="s">
        <v>126</v>
      </c>
      <c r="AP10" s="6" t="s">
        <v>126</v>
      </c>
      <c r="AQ10" s="6">
        <v>632</v>
      </c>
      <c r="AR10" s="6">
        <v>8</v>
      </c>
      <c r="AS10" s="6">
        <v>8</v>
      </c>
      <c r="AT10" s="6">
        <v>8</v>
      </c>
      <c r="AU10" s="6">
        <v>8</v>
      </c>
      <c r="AV10" s="9">
        <v>9</v>
      </c>
      <c r="AW10" s="9">
        <v>9</v>
      </c>
      <c r="AX10" s="9">
        <v>9</v>
      </c>
      <c r="AY10" s="9">
        <v>9</v>
      </c>
      <c r="AZ10" s="9">
        <v>8</v>
      </c>
      <c r="BA10" s="9">
        <v>9</v>
      </c>
      <c r="BB10" s="9">
        <v>9</v>
      </c>
      <c r="BC10" s="9">
        <v>8</v>
      </c>
      <c r="BD10" s="9">
        <v>9</v>
      </c>
      <c r="BE10" s="9">
        <v>9</v>
      </c>
      <c r="BF10" s="9">
        <v>9</v>
      </c>
      <c r="BG10" s="9">
        <v>9</v>
      </c>
      <c r="BH10" s="9">
        <v>10</v>
      </c>
      <c r="BI10" s="9">
        <v>10</v>
      </c>
      <c r="BJ10" s="9">
        <v>10</v>
      </c>
      <c r="BK10" s="9">
        <v>10</v>
      </c>
      <c r="BL10" s="6">
        <f>AR10+AV10+AZ10+BD10+BH10</f>
        <v>44</v>
      </c>
      <c r="BM10" s="6">
        <f>AS10+AW10+BA10+BE10+BI10</f>
        <v>45</v>
      </c>
      <c r="BN10" s="6">
        <f>AT10+AX10+BB10+BF10+BJ10</f>
        <v>45</v>
      </c>
      <c r="BO10" s="6">
        <f>AU10+AY10+BC10+BG10+BK10</f>
        <v>44</v>
      </c>
    </row>
    <row r="11" spans="1:67" ht="15.6" x14ac:dyDescent="0.3">
      <c r="A11" s="4">
        <v>10</v>
      </c>
      <c r="B11" s="5" t="s">
        <v>51</v>
      </c>
      <c r="C11" s="5">
        <v>2025160067</v>
      </c>
      <c r="D11" s="4" t="s">
        <v>24</v>
      </c>
      <c r="E11" s="4">
        <v>52</v>
      </c>
      <c r="F11" s="4" t="s">
        <v>52</v>
      </c>
      <c r="G11" s="4" t="s">
        <v>53</v>
      </c>
      <c r="H11" s="4">
        <v>4</v>
      </c>
      <c r="I11" s="4">
        <v>4</v>
      </c>
      <c r="J11" s="4">
        <v>0</v>
      </c>
      <c r="K11" s="7">
        <v>1</v>
      </c>
      <c r="L11" s="6">
        <v>18</v>
      </c>
      <c r="M11" s="6">
        <v>17</v>
      </c>
      <c r="N11" s="6">
        <v>1</v>
      </c>
      <c r="O11" s="7">
        <v>0.94444444444444442</v>
      </c>
      <c r="P11" s="6">
        <v>22</v>
      </c>
      <c r="Q11" s="6">
        <v>15</v>
      </c>
      <c r="R11" s="6">
        <v>7</v>
      </c>
      <c r="S11" s="7">
        <v>0.68181818181818177</v>
      </c>
      <c r="T11" s="10" t="s">
        <v>123</v>
      </c>
      <c r="U11" s="11">
        <v>85</v>
      </c>
      <c r="V11" s="11">
        <v>86</v>
      </c>
      <c r="W11" s="11">
        <v>241</v>
      </c>
      <c r="X11" s="11">
        <v>412</v>
      </c>
      <c r="Y11" s="6">
        <v>659</v>
      </c>
      <c r="Z11" s="6" t="s">
        <v>124</v>
      </c>
      <c r="AA11" s="6">
        <v>70</v>
      </c>
      <c r="AB11" s="6">
        <v>119</v>
      </c>
      <c r="AC11" s="6">
        <v>292</v>
      </c>
      <c r="AD11" s="6">
        <v>481</v>
      </c>
      <c r="AE11" s="6">
        <v>705</v>
      </c>
      <c r="AF11" s="6" t="s">
        <v>125</v>
      </c>
      <c r="AG11" s="6">
        <v>72</v>
      </c>
      <c r="AH11" s="6">
        <v>91</v>
      </c>
      <c r="AI11" s="6">
        <v>272</v>
      </c>
      <c r="AJ11" s="6">
        <v>435</v>
      </c>
      <c r="AK11" s="6">
        <v>690</v>
      </c>
      <c r="AL11" s="6" t="s">
        <v>126</v>
      </c>
      <c r="AM11" s="6" t="s">
        <v>126</v>
      </c>
      <c r="AN11" s="6" t="s">
        <v>126</v>
      </c>
      <c r="AO11" s="6" t="s">
        <v>126</v>
      </c>
      <c r="AP11" s="6" t="s">
        <v>126</v>
      </c>
      <c r="AQ11" s="6">
        <v>632</v>
      </c>
      <c r="AR11" s="6">
        <v>8</v>
      </c>
      <c r="AS11" s="6">
        <v>8</v>
      </c>
      <c r="AT11" s="6">
        <v>8</v>
      </c>
      <c r="AU11" s="6">
        <v>8</v>
      </c>
      <c r="AV11" s="9">
        <v>9</v>
      </c>
      <c r="AW11" s="9">
        <v>8</v>
      </c>
      <c r="AX11" s="9">
        <v>8</v>
      </c>
      <c r="AY11" s="9">
        <v>8</v>
      </c>
      <c r="AZ11" s="9">
        <v>8</v>
      </c>
      <c r="BA11" s="9">
        <v>9</v>
      </c>
      <c r="BB11" s="9">
        <v>9</v>
      </c>
      <c r="BC11" s="9">
        <v>8</v>
      </c>
      <c r="BD11" s="9">
        <v>8</v>
      </c>
      <c r="BE11" s="9">
        <v>8</v>
      </c>
      <c r="BF11" s="9">
        <v>8</v>
      </c>
      <c r="BG11" s="9">
        <v>8</v>
      </c>
      <c r="BH11" s="9">
        <v>9</v>
      </c>
      <c r="BI11" s="9">
        <v>10</v>
      </c>
      <c r="BJ11" s="9">
        <v>10</v>
      </c>
      <c r="BK11" s="9">
        <v>9</v>
      </c>
      <c r="BL11" s="6">
        <f>AR11+AV11+AZ11+BD11+BH11</f>
        <v>42</v>
      </c>
      <c r="BM11" s="6">
        <f>AS11+AW11+BA11+BE11+BI11</f>
        <v>43</v>
      </c>
      <c r="BN11" s="6">
        <f>AT11+AX11+BB11+BF11+BJ11</f>
        <v>43</v>
      </c>
      <c r="BO11" s="6">
        <f>AU11+AY11+BC11+BG11+BK11</f>
        <v>41</v>
      </c>
    </row>
  </sheetData>
  <conditionalFormatting sqref="C1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00" verticalDpi="300" r:id="rId1"/>
  <ignoredErrors>
    <ignoredError sqref="AL3:AL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2025-08-15T16:05:13Z</dcterms:modified>
</cp:coreProperties>
</file>