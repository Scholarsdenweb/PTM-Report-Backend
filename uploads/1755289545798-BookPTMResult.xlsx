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B6BE63-D455-48B2-893A-055C00DBD49D}" xr6:coauthVersionLast="47" xr6:coauthVersionMax="47" xr10:uidLastSave="{00000000-0000-0000-0000-000000000000}"/>
  <bookViews>
    <workbookView xWindow="-108" yWindow="-108" windowWidth="23256" windowHeight="12456" xr2:uid="{EFD7FDCC-0848-409C-AFD0-EE4A681D7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4" i="1" l="1"/>
  <c r="BN4" i="1"/>
  <c r="BM4" i="1"/>
  <c r="BL4" i="1"/>
  <c r="BO2" i="1"/>
  <c r="BN2" i="1"/>
  <c r="BM2" i="1"/>
  <c r="BL2" i="1"/>
  <c r="BO3" i="1"/>
  <c r="BN3" i="1"/>
  <c r="BM3" i="1"/>
  <c r="BL3" i="1"/>
</calcChain>
</file>

<file path=xl/sharedStrings.xml><?xml version="1.0" encoding="utf-8"?>
<sst xmlns="http://schemas.openxmlformats.org/spreadsheetml/2006/main" count="103" uniqueCount="87">
  <si>
    <t xml:space="preserve">Sr. No </t>
  </si>
  <si>
    <t>NAME</t>
  </si>
  <si>
    <t>ROLL NO</t>
  </si>
  <si>
    <t>BATCH</t>
  </si>
  <si>
    <t>Strength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</si>
  <si>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</si>
  <si>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</si>
  <si>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</si>
  <si>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</si>
  <si>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</si>
  <si>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</si>
  <si>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</si>
  <si>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</si>
  <si>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</si>
  <si>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</si>
  <si>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</si>
  <si>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</si>
  <si>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Result_15 June</t>
  </si>
  <si>
    <t>Result_15 June_Phy</t>
  </si>
  <si>
    <t>Result_15 June_Chem</t>
  </si>
  <si>
    <t>Result_15 June_Bio</t>
  </si>
  <si>
    <t>Result_15 June_Total</t>
  </si>
  <si>
    <t>Result_15 June_Highest Marks</t>
  </si>
  <si>
    <t>Result_29 June</t>
  </si>
  <si>
    <t>Result_29 June_Phy</t>
  </si>
  <si>
    <t>Result_29 June_Chem</t>
  </si>
  <si>
    <t>Result_29 June_Bio</t>
  </si>
  <si>
    <t>Result_29 June_Total</t>
  </si>
  <si>
    <t>Result_29 June_Highest Marks</t>
  </si>
  <si>
    <t>Result_13 July</t>
  </si>
  <si>
    <t>Result_13 July_Phy</t>
  </si>
  <si>
    <t>Result_13 July_Chem</t>
  </si>
  <si>
    <t>Result_13 July_Bio</t>
  </si>
  <si>
    <t>Result_13 July_Total</t>
  </si>
  <si>
    <t>Result_13 July_Highest Marks</t>
  </si>
  <si>
    <t>Result_10 August</t>
  </si>
  <si>
    <t>Result_10 August_Phy</t>
  </si>
  <si>
    <t>Result_10 August_Chem</t>
  </si>
  <si>
    <t>Result_10 August_Bio</t>
  </si>
  <si>
    <t>Result_10 August_Total</t>
  </si>
  <si>
    <t>Result_10 August_Highest Marks</t>
  </si>
  <si>
    <t>Zoology_CR</t>
  </si>
  <si>
    <t>Zoology_OD</t>
  </si>
  <si>
    <t>Zoology_CA</t>
  </si>
  <si>
    <t>Zoology_HW</t>
  </si>
  <si>
    <t>Chemistry_CR</t>
  </si>
  <si>
    <t>Chemistry_OD</t>
  </si>
  <si>
    <t>Chemistry_CA</t>
  </si>
  <si>
    <t>Chemistry_HW</t>
  </si>
  <si>
    <t>Physics_CR</t>
  </si>
  <si>
    <t>Physics_OD</t>
  </si>
  <si>
    <t>Physics_CA</t>
  </si>
  <si>
    <t>Physics_HW</t>
  </si>
  <si>
    <t>Botany_CR</t>
  </si>
  <si>
    <t>Botany_OD</t>
  </si>
  <si>
    <t>Botany_CA</t>
  </si>
  <si>
    <t>Botany_HW</t>
  </si>
  <si>
    <t>Total_CR</t>
  </si>
  <si>
    <t>Total_OD</t>
  </si>
  <si>
    <t>Total_CA</t>
  </si>
  <si>
    <t>Total_HW</t>
  </si>
  <si>
    <t>PM2</t>
  </si>
  <si>
    <t>ABS</t>
  </si>
  <si>
    <t>Physical Chemistry_CR</t>
  </si>
  <si>
    <t>Physical Chemistry_OD</t>
  </si>
  <si>
    <t>Physical Chemistry_CA</t>
  </si>
  <si>
    <t>Physical Chemistry_HW</t>
  </si>
  <si>
    <t>Father Name</t>
  </si>
  <si>
    <t>Mother Name</t>
  </si>
  <si>
    <t>Fairy Yadav</t>
  </si>
  <si>
    <t>Mr. Vijendra Singh</t>
  </si>
  <si>
    <t>Mrs. Pawanlata Yadav</t>
  </si>
  <si>
    <t>24/51</t>
  </si>
  <si>
    <t>40/56</t>
  </si>
  <si>
    <t>38/49</t>
  </si>
  <si>
    <t>34/42</t>
  </si>
  <si>
    <t>Alpish</t>
  </si>
  <si>
    <t>Mohd Yunus</t>
  </si>
  <si>
    <t>Mrs. Shama</t>
  </si>
  <si>
    <t>42/51</t>
  </si>
  <si>
    <t>42/56</t>
  </si>
  <si>
    <t>45/49</t>
  </si>
  <si>
    <t>27/42</t>
  </si>
  <si>
    <t>Shanu</t>
  </si>
  <si>
    <t>Mr. Gabbar</t>
  </si>
  <si>
    <t>Mrs. Aphasana</t>
  </si>
  <si>
    <t>47/51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</si>
</sst>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FAC1-C24B-4645-897A-5037DED403E1}">
  <dimension ref="A1:BO4"/>
  <sheetViews>
    <sheetView tabSelected="1" topLeftCell="AB1" workbookViewId="0">
      <selection activeCell="K6" sqref="K6"/>
    </sheetView>
  </sheetViews>
  <sheetFormatPr defaultRowHeight="14.4" x14ac:dyDescent="0.3"/>
  <cols>
    <col min="2" max="2" width="23.5546875" customWidth="1"/>
    <col min="3" max="3" width="22.44140625" customWidth="1"/>
  </cols>
  <sheetData>
    <row r="1" spans="1:67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  <c r="G1" s="1" t="s">
        <v>68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4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4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53</v>
      </c>
      <c r="BI1" s="4" t="s">
        <v>54</v>
      </c>
      <c r="BJ1" s="4" t="s">
        <v>55</v>
      </c>
      <c r="BK1" s="4" t="s">
        <v>56</v>
      </c>
      <c r="BL1" s="4" t="s">
        <v>57</v>
      </c>
      <c r="BM1" s="4" t="s">
        <v>58</v>
      </c>
      <c r="BN1" s="4" t="s">
        <v>59</v>
      </c>
      <c r="BO1" s="4" t="s">
        <v>60</v>
      </c>
    </row>
    <row r="2" spans="1:67" ht="15.6" x14ac:dyDescent="0.3">
      <c r="A2" s="5">
        <v>5</v>
      </c>
      <c r="B2" s="6" t="s">
        <v>76</v>
      </c>
      <c r="C2" s="6">
        <v>2025160057</v>
      </c>
      <c r="D2" s="5" t="s">
        <v>61</v>
      </c>
      <c r="E2" s="5">
        <v>52</v>
      </c>
      <c r="F2" s="5" t="s">
        <v>77</v>
      </c>
      <c r="G2" s="5" t="s">
        <v>78</v>
      </c>
      <c r="H2" s="7">
        <v>6</v>
      </c>
      <c r="I2" s="7">
        <v>6</v>
      </c>
      <c r="J2" s="7">
        <v>0</v>
      </c>
      <c r="K2" s="8">
        <v>1</v>
      </c>
      <c r="L2" s="7">
        <v>18</v>
      </c>
      <c r="M2" s="7">
        <v>18</v>
      </c>
      <c r="N2" s="7">
        <v>0</v>
      </c>
      <c r="O2" s="8">
        <v>1</v>
      </c>
      <c r="P2" s="7">
        <v>22</v>
      </c>
      <c r="Q2" s="7">
        <v>21</v>
      </c>
      <c r="R2" s="7">
        <v>1</v>
      </c>
      <c r="S2" s="8">
        <v>0.95454545454545459</v>
      </c>
      <c r="T2" s="7" t="s">
        <v>79</v>
      </c>
      <c r="U2" s="7">
        <v>25</v>
      </c>
      <c r="V2" s="7">
        <v>100</v>
      </c>
      <c r="W2" s="7">
        <v>115</v>
      </c>
      <c r="X2" s="7">
        <v>240</v>
      </c>
      <c r="Y2" s="7">
        <v>659</v>
      </c>
      <c r="Z2" s="7" t="s">
        <v>80</v>
      </c>
      <c r="AA2" s="7">
        <v>20</v>
      </c>
      <c r="AB2" s="7">
        <v>95</v>
      </c>
      <c r="AC2" s="7">
        <v>198</v>
      </c>
      <c r="AD2" s="7">
        <v>313</v>
      </c>
      <c r="AE2" s="7">
        <v>705</v>
      </c>
      <c r="AF2" s="7" t="s">
        <v>81</v>
      </c>
      <c r="AG2" s="7">
        <v>10</v>
      </c>
      <c r="AH2" s="7">
        <v>37</v>
      </c>
      <c r="AI2" s="7">
        <v>170</v>
      </c>
      <c r="AJ2" s="7">
        <v>217</v>
      </c>
      <c r="AK2" s="7">
        <v>690</v>
      </c>
      <c r="AL2" s="7" t="s">
        <v>82</v>
      </c>
      <c r="AM2" s="7">
        <v>46</v>
      </c>
      <c r="AN2" s="7">
        <v>55</v>
      </c>
      <c r="AO2" s="7">
        <v>192</v>
      </c>
      <c r="AP2" s="7">
        <v>293</v>
      </c>
      <c r="AQ2" s="7">
        <v>632</v>
      </c>
      <c r="AR2" s="7">
        <v>9</v>
      </c>
      <c r="AS2" s="7">
        <v>10</v>
      </c>
      <c r="AT2" s="7">
        <v>9</v>
      </c>
      <c r="AU2" s="7">
        <v>10</v>
      </c>
      <c r="AV2" s="9">
        <v>9</v>
      </c>
      <c r="AW2" s="9">
        <v>9</v>
      </c>
      <c r="AX2" s="9">
        <v>9</v>
      </c>
      <c r="AY2" s="9">
        <v>9</v>
      </c>
      <c r="AZ2" s="9">
        <v>9</v>
      </c>
      <c r="BA2" s="9">
        <v>9</v>
      </c>
      <c r="BB2" s="9">
        <v>9</v>
      </c>
      <c r="BC2" s="9">
        <v>9</v>
      </c>
      <c r="BD2" s="9">
        <v>9</v>
      </c>
      <c r="BE2" s="9">
        <v>9</v>
      </c>
      <c r="BF2" s="9">
        <v>9</v>
      </c>
      <c r="BG2" s="9">
        <v>9</v>
      </c>
      <c r="BH2" s="9">
        <v>8</v>
      </c>
      <c r="BI2" s="9">
        <v>8</v>
      </c>
      <c r="BJ2" s="9">
        <v>8</v>
      </c>
      <c r="BK2" s="9">
        <v>8</v>
      </c>
      <c r="BL2" s="7">
        <f>AR2+AV2+AZ2+BD2+BH2</f>
        <v>44</v>
      </c>
      <c r="BM2" s="7">
        <f>AS2+AW2+BA2+BE2+BI2</f>
        <v>45</v>
      </c>
      <c r="BN2" s="7">
        <f>AT2+AX2+BB2+BF2+BJ2</f>
        <v>44</v>
      </c>
      <c r="BO2" s="7">
        <f>AU2+AY2+BC2+BG2+BK2</f>
        <v>45</v>
      </c>
    </row>
    <row r="3" spans="1:67" ht="15.6" x14ac:dyDescent="0.3">
      <c r="A3" s="5">
        <v>16</v>
      </c>
      <c r="B3" s="6" t="s">
        <v>69</v>
      </c>
      <c r="C3" s="6">
        <v>2025160049</v>
      </c>
      <c r="D3" s="5" t="s">
        <v>61</v>
      </c>
      <c r="E3" s="5">
        <v>52</v>
      </c>
      <c r="F3" s="5" t="s">
        <v>70</v>
      </c>
      <c r="G3" s="5" t="s">
        <v>71</v>
      </c>
      <c r="H3" s="7">
        <v>8</v>
      </c>
      <c r="I3" s="7">
        <v>8</v>
      </c>
      <c r="J3" s="7">
        <v>0</v>
      </c>
      <c r="K3" s="8">
        <v>1</v>
      </c>
      <c r="L3" s="7">
        <v>18</v>
      </c>
      <c r="M3" s="7">
        <v>16</v>
      </c>
      <c r="N3" s="7">
        <v>2</v>
      </c>
      <c r="O3" s="8">
        <v>0.88888888888888884</v>
      </c>
      <c r="P3" s="7">
        <v>22</v>
      </c>
      <c r="Q3" s="7">
        <v>22</v>
      </c>
      <c r="R3" s="7">
        <v>0</v>
      </c>
      <c r="S3" s="8">
        <v>1</v>
      </c>
      <c r="T3" s="7" t="s">
        <v>72</v>
      </c>
      <c r="U3" s="7">
        <v>45</v>
      </c>
      <c r="V3" s="7">
        <v>90</v>
      </c>
      <c r="W3" s="7">
        <v>287</v>
      </c>
      <c r="X3" s="7">
        <v>422</v>
      </c>
      <c r="Y3" s="7">
        <v>659</v>
      </c>
      <c r="Z3" s="7" t="s">
        <v>73</v>
      </c>
      <c r="AA3" s="7">
        <v>32</v>
      </c>
      <c r="AB3" s="7">
        <v>38</v>
      </c>
      <c r="AC3" s="7">
        <v>259</v>
      </c>
      <c r="AD3" s="7">
        <v>329</v>
      </c>
      <c r="AE3" s="7">
        <v>705</v>
      </c>
      <c r="AF3" s="7" t="s">
        <v>74</v>
      </c>
      <c r="AG3" s="7">
        <v>30</v>
      </c>
      <c r="AH3" s="7">
        <v>43</v>
      </c>
      <c r="AI3" s="7">
        <v>200</v>
      </c>
      <c r="AJ3" s="7">
        <v>273</v>
      </c>
      <c r="AK3" s="7">
        <v>690</v>
      </c>
      <c r="AL3" s="7" t="s">
        <v>75</v>
      </c>
      <c r="AM3" s="7">
        <v>3</v>
      </c>
      <c r="AN3" s="7">
        <v>27</v>
      </c>
      <c r="AO3" s="7">
        <v>223</v>
      </c>
      <c r="AP3" s="7">
        <v>253</v>
      </c>
      <c r="AQ3" s="7">
        <v>632</v>
      </c>
      <c r="AR3" s="7">
        <v>10</v>
      </c>
      <c r="AS3" s="7">
        <v>10</v>
      </c>
      <c r="AT3" s="7">
        <v>10</v>
      </c>
      <c r="AU3" s="7">
        <v>10</v>
      </c>
      <c r="AV3" s="9">
        <v>8</v>
      </c>
      <c r="AW3" s="9">
        <v>8</v>
      </c>
      <c r="AX3" s="9">
        <v>9</v>
      </c>
      <c r="AY3" s="9">
        <v>8</v>
      </c>
      <c r="AZ3" s="9">
        <v>9</v>
      </c>
      <c r="BA3" s="9">
        <v>9</v>
      </c>
      <c r="BB3" s="9">
        <v>9</v>
      </c>
      <c r="BC3" s="9">
        <v>9</v>
      </c>
      <c r="BD3" s="9">
        <v>9</v>
      </c>
      <c r="BE3" s="9">
        <v>9</v>
      </c>
      <c r="BF3" s="9">
        <v>9</v>
      </c>
      <c r="BG3" s="9">
        <v>9</v>
      </c>
      <c r="BH3" s="9">
        <v>10</v>
      </c>
      <c r="BI3" s="9">
        <v>9</v>
      </c>
      <c r="BJ3" s="9">
        <v>9</v>
      </c>
      <c r="BK3" s="9">
        <v>8</v>
      </c>
      <c r="BL3" s="7">
        <f>AR3+AV3+AZ3+BD3+BH3</f>
        <v>46</v>
      </c>
      <c r="BM3" s="7">
        <f>AS3+AW3+BA3+BE3+BI3</f>
        <v>45</v>
      </c>
      <c r="BN3" s="7">
        <f>AT3+AX3+BB3+BF3+BJ3</f>
        <v>46</v>
      </c>
      <c r="BO3" s="7">
        <f>AU3+AY3+BC3+BG3+BK3</f>
        <v>44</v>
      </c>
    </row>
    <row r="4" spans="1:67" ht="15.6" x14ac:dyDescent="0.3">
      <c r="A4" s="5">
        <v>47</v>
      </c>
      <c r="B4" s="6" t="s">
        <v>83</v>
      </c>
      <c r="C4" s="6">
        <v>2025160056</v>
      </c>
      <c r="D4" s="5" t="s">
        <v>61</v>
      </c>
      <c r="E4" s="5">
        <v>52</v>
      </c>
      <c r="F4" s="5" t="s">
        <v>84</v>
      </c>
      <c r="G4" s="5" t="s">
        <v>85</v>
      </c>
      <c r="H4" s="7">
        <v>5</v>
      </c>
      <c r="I4" s="7">
        <v>4</v>
      </c>
      <c r="J4" s="7">
        <v>1</v>
      </c>
      <c r="K4" s="8">
        <v>0.8</v>
      </c>
      <c r="L4" s="7">
        <v>18</v>
      </c>
      <c r="M4" s="7">
        <v>12</v>
      </c>
      <c r="N4" s="7">
        <v>6</v>
      </c>
      <c r="O4" s="8">
        <v>0.66666666666666663</v>
      </c>
      <c r="P4" s="7">
        <v>22</v>
      </c>
      <c r="Q4" s="7">
        <v>14</v>
      </c>
      <c r="R4" s="7">
        <v>8</v>
      </c>
      <c r="S4" s="8">
        <v>0.63636363636363635</v>
      </c>
      <c r="T4" s="7" t="s">
        <v>86</v>
      </c>
      <c r="U4" s="7">
        <v>20</v>
      </c>
      <c r="V4" s="7">
        <v>45</v>
      </c>
      <c r="W4" s="7">
        <v>40</v>
      </c>
      <c r="X4" s="7">
        <v>105</v>
      </c>
      <c r="Y4" s="7">
        <v>659</v>
      </c>
      <c r="Z4" s="7" t="s">
        <v>62</v>
      </c>
      <c r="AA4" s="7" t="s">
        <v>62</v>
      </c>
      <c r="AB4" s="7" t="s">
        <v>62</v>
      </c>
      <c r="AC4" s="7" t="s">
        <v>62</v>
      </c>
      <c r="AD4" s="7" t="s">
        <v>62</v>
      </c>
      <c r="AE4" s="7">
        <v>705</v>
      </c>
      <c r="AF4" s="7" t="s">
        <v>62</v>
      </c>
      <c r="AG4" s="7" t="s">
        <v>62</v>
      </c>
      <c r="AH4" s="7" t="s">
        <v>62</v>
      </c>
      <c r="AI4" s="7" t="s">
        <v>62</v>
      </c>
      <c r="AJ4" s="7" t="s">
        <v>62</v>
      </c>
      <c r="AK4" s="7">
        <v>690</v>
      </c>
      <c r="AL4" s="7" t="s">
        <v>62</v>
      </c>
      <c r="AM4" s="7" t="s">
        <v>62</v>
      </c>
      <c r="AN4" s="7" t="s">
        <v>62</v>
      </c>
      <c r="AO4" s="7" t="s">
        <v>62</v>
      </c>
      <c r="AP4" s="7" t="s">
        <v>62</v>
      </c>
      <c r="AQ4" s="7">
        <v>632</v>
      </c>
      <c r="AR4" s="7">
        <v>9</v>
      </c>
      <c r="AS4" s="7">
        <v>8</v>
      </c>
      <c r="AT4" s="7">
        <v>9</v>
      </c>
      <c r="AU4" s="7">
        <v>8</v>
      </c>
      <c r="AV4" s="9">
        <v>8</v>
      </c>
      <c r="AW4" s="9">
        <v>8</v>
      </c>
      <c r="AX4" s="9">
        <v>9</v>
      </c>
      <c r="AY4" s="9">
        <v>8</v>
      </c>
      <c r="AZ4" s="9">
        <v>8</v>
      </c>
      <c r="BA4" s="9">
        <v>8</v>
      </c>
      <c r="BB4" s="9">
        <v>8</v>
      </c>
      <c r="BC4" s="9">
        <v>8</v>
      </c>
      <c r="BD4" s="9">
        <v>9</v>
      </c>
      <c r="BE4" s="9">
        <v>9</v>
      </c>
      <c r="BF4" s="9">
        <v>9</v>
      </c>
      <c r="BG4" s="9">
        <v>9</v>
      </c>
      <c r="BH4" s="9">
        <v>9</v>
      </c>
      <c r="BI4" s="9">
        <v>9</v>
      </c>
      <c r="BJ4" s="9">
        <v>10</v>
      </c>
      <c r="BK4" s="9">
        <v>10</v>
      </c>
      <c r="BL4" s="7">
        <f>AR4+AV4+AZ4+BD4+BH4</f>
        <v>43</v>
      </c>
      <c r="BM4" s="7">
        <f>AS4+AW4+BA4+BE4+BI4</f>
        <v>42</v>
      </c>
      <c r="BN4" s="7">
        <f>AT4+AX4+BB4+BF4+BJ4</f>
        <v>45</v>
      </c>
      <c r="BO4" s="7">
        <f>AU4+AY4+BC4+BG4+BK4</f>
        <v>43</v>
      </c>
    </row>
  </sheetData>
  <conditionalFormatting sqref="C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GUPTA</dc:creator>
  <cp:lastModifiedBy>JATIN GUPTA</cp:lastModifiedBy>
  <dcterms:created xsi:type="dcterms:W3CDTF">2025-08-15T10:28:30Z</dcterms:created>
  <dcterms:modified xsi:type="dcterms:W3CDTF">2025-08-15T19:23:45Z</dcterms:modified>
</cp:coreProperties>
</file>