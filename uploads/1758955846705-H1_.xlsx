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ARE\Shared 2\PTM Folder\2025-2026\PTM REPORT\27-09-2025_Foundation Batch\Upload Files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13" i="1" l="1"/>
  <c r="BN13" i="1"/>
  <c r="BM13" i="1"/>
  <c r="BL13" i="1"/>
  <c r="BO12" i="1"/>
  <c r="BN12" i="1"/>
  <c r="BM12" i="1"/>
  <c r="BL12" i="1"/>
  <c r="BO11" i="1"/>
  <c r="BN11" i="1"/>
  <c r="BM11" i="1"/>
  <c r="BL11" i="1"/>
  <c r="BO10" i="1"/>
  <c r="BN10" i="1"/>
  <c r="BM10" i="1"/>
  <c r="BL10" i="1"/>
  <c r="BO9" i="1"/>
  <c r="BN9" i="1"/>
  <c r="BM9" i="1"/>
  <c r="BL9" i="1"/>
  <c r="BO8" i="1"/>
  <c r="BN8" i="1"/>
  <c r="BM8" i="1"/>
  <c r="BL8" i="1"/>
  <c r="BO7" i="1"/>
  <c r="BN7" i="1"/>
  <c r="BM7" i="1"/>
  <c r="BL7" i="1"/>
  <c r="BO6" i="1"/>
  <c r="BN6" i="1"/>
  <c r="BM6" i="1"/>
  <c r="BL6" i="1"/>
  <c r="BO5" i="1"/>
  <c r="BN5" i="1"/>
  <c r="BM5" i="1"/>
  <c r="BL5" i="1"/>
  <c r="BO4" i="1"/>
  <c r="BN4" i="1"/>
  <c r="BM4" i="1"/>
  <c r="BL4" i="1"/>
  <c r="BO3" i="1"/>
  <c r="BN3" i="1"/>
  <c r="BM3" i="1"/>
  <c r="BL3" i="1"/>
  <c r="BO2" i="1"/>
  <c r="BN2" i="1"/>
  <c r="BM2" i="1"/>
  <c r="BL2" i="1"/>
</calcChain>
</file>

<file path=xl/sharedStrings.xml><?xml version="1.0" encoding="utf-8"?>
<sst xmlns="http://schemas.openxmlformats.org/spreadsheetml/2006/main" count="154" uniqueCount="126">
  <si>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</si>
  <si>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</si>
  <si>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</si>
  <si>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</si>
  <si>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</si>
  <si>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</si>
  <si>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</si>
  <si>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</si>
  <si>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</si>
  <si>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</si>
  <si>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</si>
  <si>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</si>
  <si>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</si>
  <si>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</si>
  <si>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</si>
  <si>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</si>
  <si>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 xml:space="preserve">Objective_Pattern_14 Aug_Rank    </t>
  </si>
  <si>
    <t>Subjective_Pattern_17 July _Rank</t>
  </si>
  <si>
    <t>Subjective_Pattern_11 Sep _Rank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</si>
  <si>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</si>
  <si>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</si>
  <si>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</si>
  <si>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</si>
  <si>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</si>
  <si>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</si>
  <si>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</si>
  <si>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</si>
  <si>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</si>
  <si>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</si>
  <si>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</si>
  <si>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</si>
  <si>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</si>
  <si>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</si>
  <si>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</si>
  <si>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</si>
  <si>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</si>
  <si>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</si>
  <si>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</si>
  <si>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</si>
  <si>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</si>
  <si>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</si>
  <si>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</si>
  <si>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</si>
  <si>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</si>
  <si>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</si>
  <si>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</si>
  <si>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</si>
  <si>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</si>
  <si>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</si>
  <si>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</si>
  <si>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</si>
  <si>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Aarav Sharma</t>
  </si>
  <si>
    <t>H1</t>
  </si>
  <si>
    <t>Mr. Gaurav Deep Sharma</t>
  </si>
  <si>
    <t>Mrs. Ruchi Sharma</t>
  </si>
  <si>
    <t>11 /12</t>
  </si>
  <si>
    <t>9 /12</t>
  </si>
  <si>
    <t>ABS</t>
  </si>
  <si>
    <t>-</t>
  </si>
  <si>
    <t>Akshita Singh</t>
  </si>
  <si>
    <t>Mr. Vijay Kumar</t>
  </si>
  <si>
    <t>Mrs. Reena</t>
  </si>
  <si>
    <t>8 /12</t>
  </si>
  <si>
    <t>10 /12</t>
  </si>
  <si>
    <t>Amaan Ahmad</t>
  </si>
  <si>
    <t>Mr. Rais Ahmad</t>
  </si>
  <si>
    <t>Mrs. Kastoori</t>
  </si>
  <si>
    <t>12 /12</t>
  </si>
  <si>
    <t>5 /9</t>
  </si>
  <si>
    <t>Angel Vats</t>
  </si>
  <si>
    <t>Mr. Hari Dutt Vats</t>
  </si>
  <si>
    <t>Mrs. Kavita Rani</t>
  </si>
  <si>
    <t>3 /12</t>
  </si>
  <si>
    <t>2 /12</t>
  </si>
  <si>
    <t>2 /9</t>
  </si>
  <si>
    <t>Atishri Tyagi</t>
  </si>
  <si>
    <t xml:space="preserve">Mr. Vishal Tyagi </t>
  </si>
  <si>
    <t>Mrs. Varsha</t>
  </si>
  <si>
    <t>4 /12</t>
  </si>
  <si>
    <t>5 /12</t>
  </si>
  <si>
    <t>Himanjay Tewatia</t>
  </si>
  <si>
    <t>Mr. Guarav Singh</t>
  </si>
  <si>
    <t>Mrs. Gunakshi</t>
  </si>
  <si>
    <t>8 /9</t>
  </si>
  <si>
    <t>Mahi Srivastava</t>
  </si>
  <si>
    <t>Mr. Parimal Kumar</t>
  </si>
  <si>
    <t>Mrs. Payal Kumari</t>
  </si>
  <si>
    <t>7 /12</t>
  </si>
  <si>
    <t>Naitik Rathore</t>
  </si>
  <si>
    <t>Mr. Santosh Kumar Gaurav</t>
  </si>
  <si>
    <t>Mrs. Sushma Kumari</t>
  </si>
  <si>
    <t>6 /12</t>
  </si>
  <si>
    <t>6 /9</t>
  </si>
  <si>
    <t>Navika Garg</t>
  </si>
  <si>
    <t>Mr. Anuj Garg</t>
  </si>
  <si>
    <t>Mrs. Babita Garg</t>
  </si>
  <si>
    <t>1 /12</t>
  </si>
  <si>
    <t>4 /9</t>
  </si>
  <si>
    <t>Romsha Awasthi</t>
  </si>
  <si>
    <t>Mr. S. Awasthi</t>
  </si>
  <si>
    <t>Mrs. Kavita Awasthi</t>
  </si>
  <si>
    <t>3 /9</t>
  </si>
  <si>
    <t>Suryansh Kumar Priyadarshi</t>
  </si>
  <si>
    <t>Mr. Anil Kumar</t>
  </si>
  <si>
    <t>Mrs. Sushma Rani</t>
  </si>
  <si>
    <t>1 /9</t>
  </si>
  <si>
    <t>Varish Gupta</t>
  </si>
  <si>
    <t>Mr. Dharamveer Gupta</t>
  </si>
  <si>
    <t>Mrs. Sapna Gupta</t>
  </si>
  <si>
    <t>7 /9</t>
  </si>
  <si>
    <t>Subjective_Pattern_17 July_Highest_Marks</t>
  </si>
  <si>
    <t>Subjective_Pattern_11 Sep_Highest_Marks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</si>
  <si>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</si>
  <si>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</si>
  <si>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</si>
  <si>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</si>
  <si>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</si>
  <si>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</si>
  <si>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</si>
  <si>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</si>
  <si>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Objective_Pattern_14 Aug_Highest_marks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</si>
  <si>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</si>
  <si>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</si>
  <si>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</si>
  <si>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</si>
  <si>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Subjective_Pattern_11 Sep_Maths(20)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</si>
</sst>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/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"/>
  <sheetViews>
    <sheetView tabSelected="1" zoomScale="110" zoomScaleNormal="110" workbookViewId="0">
      <selection activeCell="D22" sqref="D22"/>
    </sheetView>
  </sheetViews>
  <sheetFormatPr defaultRowHeight="15" x14ac:dyDescent="0.25"/>
  <cols>
    <col min="1" max="1" width="28.5703125" style="4" customWidth="1"/>
    <col min="2" max="2" width="18.42578125" style="4" customWidth="1"/>
    <col min="3" max="3" width="9.7109375" style="4" customWidth="1"/>
    <col min="4" max="4" width="9.140625" style="4" customWidth="1"/>
    <col min="5" max="5" width="13.42578125" style="4" customWidth="1"/>
    <col min="6" max="6" width="13.7109375" style="4" customWidth="1"/>
    <col min="7" max="7" width="26.140625" style="4" customWidth="1"/>
    <col min="8" max="8" width="21.28515625" style="4" customWidth="1"/>
    <col min="9" max="9" width="11" style="4" customWidth="1"/>
    <col min="10" max="10" width="10" style="4" customWidth="1"/>
    <col min="11" max="12" width="9" style="4" customWidth="1"/>
    <col min="13" max="13" width="12.140625" style="4" customWidth="1"/>
    <col min="14" max="14" width="12.7109375" style="4" customWidth="1"/>
    <col min="15" max="15" width="10.85546875" style="4" customWidth="1"/>
    <col min="16" max="16" width="13" style="4" customWidth="1"/>
    <col min="17" max="35" width="23" style="4" customWidth="1"/>
    <col min="36" max="51" width="9.140625" style="4" customWidth="1"/>
    <col min="52" max="16384" width="9.140625" style="4"/>
  </cols>
  <sheetData>
    <row r="1" spans="1:67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17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110</v>
      </c>
      <c r="AG1" s="1" t="s">
        <v>18</v>
      </c>
      <c r="AH1" s="1" t="s">
        <v>125</v>
      </c>
      <c r="AI1" s="1" t="s">
        <v>111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47</v>
      </c>
      <c r="BM1" s="1" t="s">
        <v>48</v>
      </c>
      <c r="BN1" s="1" t="s">
        <v>49</v>
      </c>
      <c r="BO1" s="1" t="s">
        <v>50</v>
      </c>
    </row>
    <row r="2" spans="1:67" ht="15.75" x14ac:dyDescent="0.25">
      <c r="A2" s="2" t="s">
        <v>51</v>
      </c>
      <c r="B2" s="5">
        <v>2025080013</v>
      </c>
      <c r="C2" s="5">
        <v>12</v>
      </c>
      <c r="D2" s="2" t="s">
        <v>52</v>
      </c>
      <c r="E2" s="5">
        <v>9412242818</v>
      </c>
      <c r="F2" s="5">
        <v>9927044686</v>
      </c>
      <c r="G2" s="5" t="s">
        <v>53</v>
      </c>
      <c r="H2" s="5" t="s">
        <v>54</v>
      </c>
      <c r="I2" s="5">
        <v>10</v>
      </c>
      <c r="J2" s="5">
        <v>9</v>
      </c>
      <c r="K2" s="5">
        <v>1</v>
      </c>
      <c r="L2" s="6">
        <v>0.9</v>
      </c>
      <c r="M2" s="5">
        <v>13</v>
      </c>
      <c r="N2" s="5">
        <v>10</v>
      </c>
      <c r="O2" s="5">
        <v>3</v>
      </c>
      <c r="P2" s="6">
        <v>0.76923076923076927</v>
      </c>
      <c r="Q2" s="5" t="s">
        <v>55</v>
      </c>
      <c r="R2" s="5">
        <v>4</v>
      </c>
      <c r="S2" s="5">
        <v>7</v>
      </c>
      <c r="T2" s="5">
        <v>5</v>
      </c>
      <c r="U2" s="5">
        <v>11</v>
      </c>
      <c r="V2" s="5">
        <v>13</v>
      </c>
      <c r="W2" s="5">
        <v>8</v>
      </c>
      <c r="X2" s="5">
        <v>8</v>
      </c>
      <c r="Y2" s="5">
        <v>56</v>
      </c>
      <c r="Z2" s="5">
        <v>93</v>
      </c>
      <c r="AA2" s="5" t="s">
        <v>56</v>
      </c>
      <c r="AB2" s="5">
        <v>1.5</v>
      </c>
      <c r="AC2" s="5">
        <v>9.5</v>
      </c>
      <c r="AD2" s="5">
        <v>2</v>
      </c>
      <c r="AE2" s="5">
        <v>13</v>
      </c>
      <c r="AF2" s="5">
        <v>36.75</v>
      </c>
      <c r="AG2" s="7" t="s">
        <v>57</v>
      </c>
      <c r="AH2" s="5" t="s">
        <v>58</v>
      </c>
      <c r="AI2" s="5">
        <v>20</v>
      </c>
      <c r="AJ2" s="5">
        <v>9</v>
      </c>
      <c r="AK2" s="5">
        <v>9</v>
      </c>
      <c r="AL2" s="5">
        <v>9</v>
      </c>
      <c r="AM2" s="5">
        <v>9</v>
      </c>
      <c r="AN2" s="5">
        <v>9</v>
      </c>
      <c r="AO2" s="5">
        <v>10</v>
      </c>
      <c r="AP2" s="5">
        <v>10</v>
      </c>
      <c r="AQ2" s="5">
        <v>10</v>
      </c>
      <c r="AR2" s="5">
        <v>10</v>
      </c>
      <c r="AS2" s="5">
        <v>10</v>
      </c>
      <c r="AT2" s="5">
        <v>10</v>
      </c>
      <c r="AU2" s="5">
        <v>10</v>
      </c>
      <c r="AV2" s="5">
        <v>9</v>
      </c>
      <c r="AW2" s="5">
        <v>10</v>
      </c>
      <c r="AX2" s="5">
        <v>9</v>
      </c>
      <c r="AY2" s="5">
        <v>9</v>
      </c>
      <c r="AZ2" s="5">
        <v>8</v>
      </c>
      <c r="BA2" s="5">
        <v>10</v>
      </c>
      <c r="BB2" s="5">
        <v>8</v>
      </c>
      <c r="BC2" s="5">
        <v>9</v>
      </c>
      <c r="BD2" s="5">
        <v>10</v>
      </c>
      <c r="BE2" s="5">
        <v>10</v>
      </c>
      <c r="BF2" s="5">
        <v>10</v>
      </c>
      <c r="BG2" s="5">
        <v>10</v>
      </c>
      <c r="BH2" s="5">
        <v>10</v>
      </c>
      <c r="BI2" s="5">
        <v>10</v>
      </c>
      <c r="BJ2" s="5">
        <v>10</v>
      </c>
      <c r="BK2" s="5">
        <v>10</v>
      </c>
      <c r="BL2" s="5">
        <f>AJ2+AN2+AR2+AV2+AZ2+BD2+BH2</f>
        <v>65</v>
      </c>
      <c r="BM2" s="5">
        <f t="shared" ref="BM2:BO13" si="0">AK2+AO2+AS2+AW2+BA2+BE2+BI2</f>
        <v>69</v>
      </c>
      <c r="BN2" s="5">
        <f t="shared" si="0"/>
        <v>66</v>
      </c>
      <c r="BO2" s="5">
        <f t="shared" si="0"/>
        <v>67</v>
      </c>
    </row>
    <row r="3" spans="1:67" ht="15.75" x14ac:dyDescent="0.25">
      <c r="A3" s="3" t="s">
        <v>59</v>
      </c>
      <c r="B3" s="3">
        <v>2025080007</v>
      </c>
      <c r="C3" s="5">
        <v>12</v>
      </c>
      <c r="D3" s="2" t="s">
        <v>52</v>
      </c>
      <c r="E3" s="3">
        <v>9027285921</v>
      </c>
      <c r="F3" s="3">
        <v>6398861689</v>
      </c>
      <c r="G3" s="5" t="s">
        <v>60</v>
      </c>
      <c r="H3" s="5" t="s">
        <v>61</v>
      </c>
      <c r="I3" s="5">
        <v>13</v>
      </c>
      <c r="J3" s="5">
        <v>13</v>
      </c>
      <c r="K3" s="5">
        <v>0</v>
      </c>
      <c r="L3" s="6">
        <v>1</v>
      </c>
      <c r="M3" s="5">
        <v>13</v>
      </c>
      <c r="N3" s="5">
        <v>11</v>
      </c>
      <c r="O3" s="5">
        <v>2</v>
      </c>
      <c r="P3" s="6">
        <v>0.84615384615384615</v>
      </c>
      <c r="Q3" s="5" t="s">
        <v>62</v>
      </c>
      <c r="R3" s="5">
        <v>5</v>
      </c>
      <c r="S3" s="5">
        <v>7</v>
      </c>
      <c r="T3" s="5">
        <v>3</v>
      </c>
      <c r="U3" s="5">
        <v>8</v>
      </c>
      <c r="V3" s="5">
        <v>24</v>
      </c>
      <c r="W3" s="5">
        <v>9</v>
      </c>
      <c r="X3" s="5">
        <v>9</v>
      </c>
      <c r="Y3" s="5">
        <v>65</v>
      </c>
      <c r="Z3" s="5">
        <v>93</v>
      </c>
      <c r="AA3" s="5" t="s">
        <v>63</v>
      </c>
      <c r="AB3" s="5">
        <v>5</v>
      </c>
      <c r="AC3" s="5">
        <v>5.5</v>
      </c>
      <c r="AD3" s="5">
        <v>2</v>
      </c>
      <c r="AE3" s="5">
        <v>12.5</v>
      </c>
      <c r="AF3" s="5">
        <v>36.75</v>
      </c>
      <c r="AG3" s="7" t="s">
        <v>57</v>
      </c>
      <c r="AH3" s="5" t="s">
        <v>58</v>
      </c>
      <c r="AI3" s="5">
        <v>20</v>
      </c>
      <c r="AJ3" s="5">
        <v>8</v>
      </c>
      <c r="AK3" s="5">
        <v>9</v>
      </c>
      <c r="AL3" s="5">
        <v>9</v>
      </c>
      <c r="AM3" s="5">
        <v>9</v>
      </c>
      <c r="AN3" s="3">
        <v>10</v>
      </c>
      <c r="AO3" s="3">
        <v>9</v>
      </c>
      <c r="AP3" s="3">
        <v>9</v>
      </c>
      <c r="AQ3" s="3">
        <v>10</v>
      </c>
      <c r="AR3" s="5">
        <v>10</v>
      </c>
      <c r="AS3" s="5">
        <v>10</v>
      </c>
      <c r="AT3" s="5">
        <v>10</v>
      </c>
      <c r="AU3" s="5">
        <v>10</v>
      </c>
      <c r="AV3" s="5">
        <v>8</v>
      </c>
      <c r="AW3" s="5">
        <v>10</v>
      </c>
      <c r="AX3" s="5">
        <v>8</v>
      </c>
      <c r="AY3" s="5">
        <v>9</v>
      </c>
      <c r="AZ3" s="5">
        <v>8</v>
      </c>
      <c r="BA3" s="5">
        <v>10</v>
      </c>
      <c r="BB3" s="5">
        <v>9</v>
      </c>
      <c r="BC3" s="5">
        <v>9</v>
      </c>
      <c r="BD3" s="5">
        <v>9</v>
      </c>
      <c r="BE3" s="5">
        <v>10</v>
      </c>
      <c r="BF3" s="5">
        <v>9</v>
      </c>
      <c r="BG3" s="5">
        <v>9</v>
      </c>
      <c r="BH3" s="5">
        <v>10</v>
      </c>
      <c r="BI3" s="5">
        <v>10</v>
      </c>
      <c r="BJ3" s="5">
        <v>10</v>
      </c>
      <c r="BK3" s="5">
        <v>10</v>
      </c>
      <c r="BL3" s="5">
        <f>AJ3+AN3+AR3+AV3+AZ3+BD3+BH3</f>
        <v>63</v>
      </c>
      <c r="BM3" s="5">
        <f t="shared" si="0"/>
        <v>68</v>
      </c>
      <c r="BN3" s="5">
        <f t="shared" si="0"/>
        <v>64</v>
      </c>
      <c r="BO3" s="5">
        <f t="shared" si="0"/>
        <v>66</v>
      </c>
    </row>
    <row r="4" spans="1:67" ht="15.75" x14ac:dyDescent="0.25">
      <c r="A4" s="5" t="s">
        <v>64</v>
      </c>
      <c r="B4" s="5">
        <v>2025080006</v>
      </c>
      <c r="C4" s="5">
        <v>12</v>
      </c>
      <c r="D4" s="2" t="s">
        <v>52</v>
      </c>
      <c r="E4" s="5">
        <v>9837076937</v>
      </c>
      <c r="F4" s="5">
        <v>7618159928</v>
      </c>
      <c r="G4" s="5" t="s">
        <v>65</v>
      </c>
      <c r="H4" s="5" t="s">
        <v>66</v>
      </c>
      <c r="I4" s="5">
        <v>13</v>
      </c>
      <c r="J4" s="5">
        <v>13</v>
      </c>
      <c r="K4" s="5">
        <v>0</v>
      </c>
      <c r="L4" s="6">
        <v>1</v>
      </c>
      <c r="M4" s="5">
        <v>13</v>
      </c>
      <c r="N4" s="5">
        <v>12</v>
      </c>
      <c r="O4" s="5">
        <v>1</v>
      </c>
      <c r="P4" s="6">
        <v>0.92307692307692313</v>
      </c>
      <c r="Q4" s="5" t="s">
        <v>67</v>
      </c>
      <c r="R4" s="5">
        <v>5</v>
      </c>
      <c r="S4" s="5">
        <v>5</v>
      </c>
      <c r="T4" s="5">
        <v>3</v>
      </c>
      <c r="U4" s="5">
        <v>11</v>
      </c>
      <c r="V4" s="5">
        <v>16</v>
      </c>
      <c r="W4" s="5">
        <v>7</v>
      </c>
      <c r="X4" s="5">
        <v>5</v>
      </c>
      <c r="Y4" s="5">
        <v>52</v>
      </c>
      <c r="Z4" s="5">
        <v>93</v>
      </c>
      <c r="AA4" s="5" t="s">
        <v>67</v>
      </c>
      <c r="AB4" s="5">
        <v>7.5</v>
      </c>
      <c r="AC4" s="5">
        <v>3.5</v>
      </c>
      <c r="AD4" s="5">
        <v>0</v>
      </c>
      <c r="AE4" s="5">
        <v>11</v>
      </c>
      <c r="AF4" s="5">
        <v>36.75</v>
      </c>
      <c r="AG4" s="7" t="s">
        <v>68</v>
      </c>
      <c r="AH4" s="5">
        <v>12</v>
      </c>
      <c r="AI4" s="5">
        <v>20</v>
      </c>
      <c r="AJ4" s="5">
        <v>8</v>
      </c>
      <c r="AK4" s="5">
        <v>10</v>
      </c>
      <c r="AL4" s="5">
        <v>9</v>
      </c>
      <c r="AM4" s="5">
        <v>9</v>
      </c>
      <c r="AN4" s="5">
        <v>9</v>
      </c>
      <c r="AO4" s="5">
        <v>10</v>
      </c>
      <c r="AP4" s="5">
        <v>10</v>
      </c>
      <c r="AQ4" s="5">
        <v>10</v>
      </c>
      <c r="AR4" s="5">
        <v>10</v>
      </c>
      <c r="AS4" s="5">
        <v>10</v>
      </c>
      <c r="AT4" s="5">
        <v>10</v>
      </c>
      <c r="AU4" s="5">
        <v>10</v>
      </c>
      <c r="AV4" s="5">
        <v>8</v>
      </c>
      <c r="AW4" s="5">
        <v>10</v>
      </c>
      <c r="AX4" s="5">
        <v>10</v>
      </c>
      <c r="AY4" s="5">
        <v>8</v>
      </c>
      <c r="AZ4" s="5">
        <v>8</v>
      </c>
      <c r="BA4" s="5">
        <v>10</v>
      </c>
      <c r="BB4" s="5">
        <v>8</v>
      </c>
      <c r="BC4" s="5">
        <v>9</v>
      </c>
      <c r="BD4" s="5">
        <v>9</v>
      </c>
      <c r="BE4" s="5">
        <v>10</v>
      </c>
      <c r="BF4" s="5">
        <v>9</v>
      </c>
      <c r="BG4" s="5">
        <v>9</v>
      </c>
      <c r="BH4" s="5">
        <v>10</v>
      </c>
      <c r="BI4" s="5">
        <v>10</v>
      </c>
      <c r="BJ4" s="5">
        <v>10</v>
      </c>
      <c r="BK4" s="5">
        <v>10</v>
      </c>
      <c r="BL4" s="5">
        <f t="shared" ref="BL4:BL13" si="1">AJ4+AN4+AR4+AV4+AZ4+BD4+BH4</f>
        <v>62</v>
      </c>
      <c r="BM4" s="5">
        <f t="shared" si="0"/>
        <v>70</v>
      </c>
      <c r="BN4" s="5">
        <f t="shared" si="0"/>
        <v>66</v>
      </c>
      <c r="BO4" s="5">
        <f t="shared" si="0"/>
        <v>65</v>
      </c>
    </row>
    <row r="5" spans="1:67" ht="15.75" x14ac:dyDescent="0.25">
      <c r="A5" s="3" t="s">
        <v>69</v>
      </c>
      <c r="B5" s="3">
        <v>2025080002</v>
      </c>
      <c r="C5" s="5">
        <v>12</v>
      </c>
      <c r="D5" s="2" t="s">
        <v>52</v>
      </c>
      <c r="E5" s="3">
        <v>9560120682</v>
      </c>
      <c r="F5" s="3">
        <v>9560120682</v>
      </c>
      <c r="G5" s="5" t="s">
        <v>70</v>
      </c>
      <c r="H5" s="5" t="s">
        <v>71</v>
      </c>
      <c r="I5" s="5">
        <v>13</v>
      </c>
      <c r="J5" s="5">
        <v>13</v>
      </c>
      <c r="K5" s="5">
        <v>0</v>
      </c>
      <c r="L5" s="6">
        <v>1</v>
      </c>
      <c r="M5" s="5">
        <v>13</v>
      </c>
      <c r="N5" s="5">
        <v>11</v>
      </c>
      <c r="O5" s="5">
        <v>2</v>
      </c>
      <c r="P5" s="6">
        <v>0.84615384615384615</v>
      </c>
      <c r="Q5" s="5" t="s">
        <v>72</v>
      </c>
      <c r="R5" s="5">
        <v>10</v>
      </c>
      <c r="S5" s="5">
        <v>10</v>
      </c>
      <c r="T5" s="5">
        <v>5</v>
      </c>
      <c r="U5" s="5">
        <v>18</v>
      </c>
      <c r="V5" s="5">
        <v>20</v>
      </c>
      <c r="W5" s="5">
        <v>11</v>
      </c>
      <c r="X5" s="5">
        <v>10</v>
      </c>
      <c r="Y5" s="5">
        <v>84</v>
      </c>
      <c r="Z5" s="5">
        <v>93</v>
      </c>
      <c r="AA5" s="5" t="s">
        <v>73</v>
      </c>
      <c r="AB5" s="5">
        <v>12.5</v>
      </c>
      <c r="AC5" s="5">
        <v>11.5</v>
      </c>
      <c r="AD5" s="5">
        <v>12.5</v>
      </c>
      <c r="AE5" s="5">
        <v>36.5</v>
      </c>
      <c r="AF5" s="5">
        <v>36.75</v>
      </c>
      <c r="AG5" s="7" t="s">
        <v>74</v>
      </c>
      <c r="AH5" s="5">
        <v>19.5</v>
      </c>
      <c r="AI5" s="5">
        <v>20</v>
      </c>
      <c r="AJ5" s="5">
        <v>10</v>
      </c>
      <c r="AK5" s="5">
        <v>9</v>
      </c>
      <c r="AL5" s="5">
        <v>10</v>
      </c>
      <c r="AM5" s="5">
        <v>10</v>
      </c>
      <c r="AN5" s="3">
        <v>10</v>
      </c>
      <c r="AO5" s="3">
        <v>9</v>
      </c>
      <c r="AP5" s="3">
        <v>10</v>
      </c>
      <c r="AQ5" s="3">
        <v>10</v>
      </c>
      <c r="AR5" s="5">
        <v>10</v>
      </c>
      <c r="AS5" s="5">
        <v>10</v>
      </c>
      <c r="AT5" s="5">
        <v>10</v>
      </c>
      <c r="AU5" s="5">
        <v>10</v>
      </c>
      <c r="AV5" s="5">
        <v>10</v>
      </c>
      <c r="AW5" s="5">
        <v>10</v>
      </c>
      <c r="AX5" s="5">
        <v>10</v>
      </c>
      <c r="AY5" s="5">
        <v>10</v>
      </c>
      <c r="AZ5" s="5">
        <v>10</v>
      </c>
      <c r="BA5" s="5">
        <v>10</v>
      </c>
      <c r="BB5" s="5">
        <v>10</v>
      </c>
      <c r="BC5" s="5">
        <v>10</v>
      </c>
      <c r="BD5" s="5">
        <v>10</v>
      </c>
      <c r="BE5" s="5">
        <v>10</v>
      </c>
      <c r="BF5" s="5">
        <v>10</v>
      </c>
      <c r="BG5" s="5">
        <v>10</v>
      </c>
      <c r="BH5" s="5">
        <v>10</v>
      </c>
      <c r="BI5" s="5">
        <v>10</v>
      </c>
      <c r="BJ5" s="5">
        <v>10</v>
      </c>
      <c r="BK5" s="5">
        <v>10</v>
      </c>
      <c r="BL5" s="5">
        <f t="shared" si="1"/>
        <v>70</v>
      </c>
      <c r="BM5" s="5">
        <f t="shared" si="0"/>
        <v>68</v>
      </c>
      <c r="BN5" s="5">
        <f t="shared" si="0"/>
        <v>70</v>
      </c>
      <c r="BO5" s="5">
        <f t="shared" si="0"/>
        <v>70</v>
      </c>
    </row>
    <row r="6" spans="1:67" ht="15.75" x14ac:dyDescent="0.25">
      <c r="A6" s="3" t="s">
        <v>75</v>
      </c>
      <c r="B6" s="3">
        <v>2025080003</v>
      </c>
      <c r="C6" s="5">
        <v>12</v>
      </c>
      <c r="D6" s="2" t="s">
        <v>52</v>
      </c>
      <c r="E6" s="3">
        <v>9412240440</v>
      </c>
      <c r="F6" s="3">
        <v>9690522378</v>
      </c>
      <c r="G6" s="5" t="s">
        <v>76</v>
      </c>
      <c r="H6" s="5" t="s">
        <v>77</v>
      </c>
      <c r="I6" s="5">
        <v>13</v>
      </c>
      <c r="J6" s="5">
        <v>12</v>
      </c>
      <c r="K6" s="5">
        <v>1</v>
      </c>
      <c r="L6" s="6">
        <v>0.92307692307692313</v>
      </c>
      <c r="M6" s="5">
        <v>13</v>
      </c>
      <c r="N6" s="5">
        <v>8</v>
      </c>
      <c r="O6" s="5">
        <v>5</v>
      </c>
      <c r="P6" s="6">
        <v>0.61538461538461542</v>
      </c>
      <c r="Q6" s="5" t="s">
        <v>78</v>
      </c>
      <c r="R6" s="5">
        <v>3</v>
      </c>
      <c r="S6" s="5">
        <v>8</v>
      </c>
      <c r="T6" s="5">
        <v>8</v>
      </c>
      <c r="U6" s="5">
        <v>13</v>
      </c>
      <c r="V6" s="5">
        <v>23</v>
      </c>
      <c r="W6" s="5">
        <v>13</v>
      </c>
      <c r="X6" s="5">
        <v>8</v>
      </c>
      <c r="Y6" s="5">
        <v>76</v>
      </c>
      <c r="Z6" s="5">
        <v>93</v>
      </c>
      <c r="AA6" s="5" t="s">
        <v>79</v>
      </c>
      <c r="AB6" s="5">
        <v>5.75</v>
      </c>
      <c r="AC6" s="5">
        <v>12</v>
      </c>
      <c r="AD6" s="5">
        <v>10.5</v>
      </c>
      <c r="AE6" s="5">
        <v>28.25</v>
      </c>
      <c r="AF6" s="5">
        <v>36.75</v>
      </c>
      <c r="AG6" s="7" t="s">
        <v>57</v>
      </c>
      <c r="AH6" s="5" t="s">
        <v>58</v>
      </c>
      <c r="AI6" s="5">
        <v>20</v>
      </c>
      <c r="AJ6" s="3">
        <v>9</v>
      </c>
      <c r="AK6" s="3">
        <v>9</v>
      </c>
      <c r="AL6" s="3">
        <v>9</v>
      </c>
      <c r="AM6" s="3">
        <v>9</v>
      </c>
      <c r="AN6" s="3">
        <v>9</v>
      </c>
      <c r="AO6" s="3">
        <v>10</v>
      </c>
      <c r="AP6" s="3">
        <v>10</v>
      </c>
      <c r="AQ6" s="3">
        <v>10</v>
      </c>
      <c r="AR6" s="5">
        <v>10</v>
      </c>
      <c r="AS6" s="5">
        <v>10</v>
      </c>
      <c r="AT6" s="5">
        <v>10</v>
      </c>
      <c r="AU6" s="5">
        <v>10</v>
      </c>
      <c r="AV6" s="5">
        <v>10</v>
      </c>
      <c r="AW6" s="5">
        <v>10</v>
      </c>
      <c r="AX6" s="5">
        <v>10</v>
      </c>
      <c r="AY6" s="5">
        <v>10</v>
      </c>
      <c r="AZ6" s="5">
        <v>10</v>
      </c>
      <c r="BA6" s="5">
        <v>10</v>
      </c>
      <c r="BB6" s="5">
        <v>10</v>
      </c>
      <c r="BC6" s="5">
        <v>9</v>
      </c>
      <c r="BD6" s="5">
        <v>10</v>
      </c>
      <c r="BE6" s="5">
        <v>10</v>
      </c>
      <c r="BF6" s="5">
        <v>10</v>
      </c>
      <c r="BG6" s="5">
        <v>10</v>
      </c>
      <c r="BH6" s="5">
        <v>10</v>
      </c>
      <c r="BI6" s="5">
        <v>10</v>
      </c>
      <c r="BJ6" s="5">
        <v>10</v>
      </c>
      <c r="BK6" s="5">
        <v>10</v>
      </c>
      <c r="BL6" s="5">
        <f t="shared" si="1"/>
        <v>68</v>
      </c>
      <c r="BM6" s="5">
        <f t="shared" si="0"/>
        <v>69</v>
      </c>
      <c r="BN6" s="5">
        <f t="shared" si="0"/>
        <v>69</v>
      </c>
      <c r="BO6" s="5">
        <f t="shared" si="0"/>
        <v>68</v>
      </c>
    </row>
    <row r="7" spans="1:67" ht="15.75" x14ac:dyDescent="0.25">
      <c r="A7" s="5" t="s">
        <v>80</v>
      </c>
      <c r="B7" s="5">
        <v>2025080011</v>
      </c>
      <c r="C7" s="5">
        <v>12</v>
      </c>
      <c r="D7" s="2" t="s">
        <v>52</v>
      </c>
      <c r="E7" s="5">
        <v>9699087591</v>
      </c>
      <c r="F7" s="5">
        <v>9027345017</v>
      </c>
      <c r="G7" s="5" t="s">
        <v>81</v>
      </c>
      <c r="H7" s="5" t="s">
        <v>82</v>
      </c>
      <c r="I7" s="5">
        <v>13</v>
      </c>
      <c r="J7" s="5">
        <v>12</v>
      </c>
      <c r="K7" s="5">
        <v>1</v>
      </c>
      <c r="L7" s="6">
        <v>0.92307692307692313</v>
      </c>
      <c r="M7" s="5">
        <v>13</v>
      </c>
      <c r="N7" s="5">
        <v>13</v>
      </c>
      <c r="O7" s="5">
        <v>0</v>
      </c>
      <c r="P7" s="6">
        <v>1</v>
      </c>
      <c r="Q7" s="5" t="s">
        <v>56</v>
      </c>
      <c r="R7" s="5">
        <v>6</v>
      </c>
      <c r="S7" s="5">
        <v>10</v>
      </c>
      <c r="T7" s="5">
        <v>6</v>
      </c>
      <c r="U7" s="5">
        <v>11</v>
      </c>
      <c r="V7" s="5">
        <v>15</v>
      </c>
      <c r="W7" s="5">
        <v>12</v>
      </c>
      <c r="X7" s="5">
        <v>4</v>
      </c>
      <c r="Y7" s="5">
        <v>64</v>
      </c>
      <c r="Z7" s="5">
        <v>93</v>
      </c>
      <c r="AA7" s="5" t="s">
        <v>55</v>
      </c>
      <c r="AB7" s="5">
        <v>2.75</v>
      </c>
      <c r="AC7" s="5">
        <v>4.5</v>
      </c>
      <c r="AD7" s="5">
        <v>4</v>
      </c>
      <c r="AE7" s="5">
        <v>11.25</v>
      </c>
      <c r="AF7" s="5">
        <v>36.75</v>
      </c>
      <c r="AG7" s="7" t="s">
        <v>83</v>
      </c>
      <c r="AH7" s="5">
        <v>4</v>
      </c>
      <c r="AI7" s="5">
        <v>20</v>
      </c>
      <c r="AJ7" s="5">
        <v>9</v>
      </c>
      <c r="AK7" s="5">
        <v>9</v>
      </c>
      <c r="AL7" s="5">
        <v>9</v>
      </c>
      <c r="AM7" s="5">
        <v>9</v>
      </c>
      <c r="AN7" s="5">
        <v>9</v>
      </c>
      <c r="AO7" s="5">
        <v>10</v>
      </c>
      <c r="AP7" s="5">
        <v>10</v>
      </c>
      <c r="AQ7" s="5">
        <v>10</v>
      </c>
      <c r="AR7" s="5">
        <v>10</v>
      </c>
      <c r="AS7" s="5">
        <v>10</v>
      </c>
      <c r="AT7" s="5">
        <v>10</v>
      </c>
      <c r="AU7" s="5">
        <v>10</v>
      </c>
      <c r="AV7" s="5">
        <v>9</v>
      </c>
      <c r="AW7" s="5">
        <v>10</v>
      </c>
      <c r="AX7" s="5">
        <v>9</v>
      </c>
      <c r="AY7" s="5">
        <v>9</v>
      </c>
      <c r="AZ7" s="5">
        <v>8</v>
      </c>
      <c r="BA7" s="5">
        <v>10</v>
      </c>
      <c r="BB7" s="5">
        <v>8</v>
      </c>
      <c r="BC7" s="5">
        <v>9</v>
      </c>
      <c r="BD7" s="5">
        <v>10</v>
      </c>
      <c r="BE7" s="5">
        <v>10</v>
      </c>
      <c r="BF7" s="5">
        <v>10</v>
      </c>
      <c r="BG7" s="5">
        <v>10</v>
      </c>
      <c r="BH7" s="5">
        <v>10</v>
      </c>
      <c r="BI7" s="5">
        <v>10</v>
      </c>
      <c r="BJ7" s="5">
        <v>10</v>
      </c>
      <c r="BK7" s="5">
        <v>10</v>
      </c>
      <c r="BL7" s="5">
        <f t="shared" si="1"/>
        <v>65</v>
      </c>
      <c r="BM7" s="5">
        <f t="shared" si="0"/>
        <v>69</v>
      </c>
      <c r="BN7" s="5">
        <f t="shared" si="0"/>
        <v>66</v>
      </c>
      <c r="BO7" s="5">
        <f t="shared" si="0"/>
        <v>67</v>
      </c>
    </row>
    <row r="8" spans="1:67" ht="15.75" x14ac:dyDescent="0.25">
      <c r="A8" s="2" t="s">
        <v>84</v>
      </c>
      <c r="B8" s="5">
        <v>2025080009</v>
      </c>
      <c r="C8" s="5">
        <v>12</v>
      </c>
      <c r="D8" s="2" t="s">
        <v>52</v>
      </c>
      <c r="E8" s="5">
        <v>9760538891</v>
      </c>
      <c r="F8" s="5">
        <v>8318735343</v>
      </c>
      <c r="G8" s="5" t="s">
        <v>85</v>
      </c>
      <c r="H8" s="5" t="s">
        <v>86</v>
      </c>
      <c r="I8" s="5">
        <v>13</v>
      </c>
      <c r="J8" s="5">
        <v>10</v>
      </c>
      <c r="K8" s="5">
        <v>3</v>
      </c>
      <c r="L8" s="6">
        <v>0.76923076923076927</v>
      </c>
      <c r="M8" s="5">
        <v>13</v>
      </c>
      <c r="N8" s="5">
        <v>11</v>
      </c>
      <c r="O8" s="5">
        <v>2</v>
      </c>
      <c r="P8" s="6">
        <v>0.84615384615384615</v>
      </c>
      <c r="Q8" s="5" t="s">
        <v>79</v>
      </c>
      <c r="R8" s="5">
        <v>5</v>
      </c>
      <c r="S8" s="5">
        <v>9</v>
      </c>
      <c r="T8" s="5">
        <v>8</v>
      </c>
      <c r="U8" s="5">
        <v>11</v>
      </c>
      <c r="V8" s="5">
        <v>15</v>
      </c>
      <c r="W8" s="5">
        <v>14</v>
      </c>
      <c r="X8" s="5">
        <v>6</v>
      </c>
      <c r="Y8" s="5">
        <v>68</v>
      </c>
      <c r="Z8" s="5">
        <v>93</v>
      </c>
      <c r="AA8" s="5" t="s">
        <v>87</v>
      </c>
      <c r="AB8" s="5">
        <v>5</v>
      </c>
      <c r="AC8" s="5">
        <v>11</v>
      </c>
      <c r="AD8" s="5">
        <v>5</v>
      </c>
      <c r="AE8" s="5">
        <v>21</v>
      </c>
      <c r="AF8" s="5">
        <v>36.75</v>
      </c>
      <c r="AG8" s="7" t="s">
        <v>83</v>
      </c>
      <c r="AH8" s="5">
        <v>4</v>
      </c>
      <c r="AI8" s="5">
        <v>20</v>
      </c>
      <c r="AJ8" s="5">
        <v>8</v>
      </c>
      <c r="AK8" s="5">
        <v>9</v>
      </c>
      <c r="AL8" s="5">
        <v>9</v>
      </c>
      <c r="AM8" s="5">
        <v>8</v>
      </c>
      <c r="AN8" s="5">
        <v>9</v>
      </c>
      <c r="AO8" s="5">
        <v>10</v>
      </c>
      <c r="AP8" s="5">
        <v>10</v>
      </c>
      <c r="AQ8" s="5">
        <v>10</v>
      </c>
      <c r="AR8" s="5">
        <v>10</v>
      </c>
      <c r="AS8" s="5">
        <v>10</v>
      </c>
      <c r="AT8" s="5">
        <v>10</v>
      </c>
      <c r="AU8" s="5">
        <v>10</v>
      </c>
      <c r="AV8" s="5">
        <v>9</v>
      </c>
      <c r="AW8" s="5">
        <v>10</v>
      </c>
      <c r="AX8" s="5">
        <v>10</v>
      </c>
      <c r="AY8" s="5">
        <v>9</v>
      </c>
      <c r="AZ8" s="5">
        <v>9</v>
      </c>
      <c r="BA8" s="5">
        <v>10</v>
      </c>
      <c r="BB8" s="5">
        <v>9</v>
      </c>
      <c r="BC8" s="5">
        <v>10</v>
      </c>
      <c r="BD8" s="5">
        <v>9</v>
      </c>
      <c r="BE8" s="5">
        <v>10</v>
      </c>
      <c r="BF8" s="5">
        <v>9</v>
      </c>
      <c r="BG8" s="5">
        <v>9</v>
      </c>
      <c r="BH8" s="5">
        <v>10</v>
      </c>
      <c r="BI8" s="5">
        <v>10</v>
      </c>
      <c r="BJ8" s="5">
        <v>10</v>
      </c>
      <c r="BK8" s="5">
        <v>10</v>
      </c>
      <c r="BL8" s="5">
        <f t="shared" si="1"/>
        <v>64</v>
      </c>
      <c r="BM8" s="5">
        <f t="shared" si="0"/>
        <v>69</v>
      </c>
      <c r="BN8" s="5">
        <f t="shared" si="0"/>
        <v>67</v>
      </c>
      <c r="BO8" s="5">
        <f t="shared" si="0"/>
        <v>66</v>
      </c>
    </row>
    <row r="9" spans="1:67" ht="15.75" x14ac:dyDescent="0.25">
      <c r="A9" s="5" t="s">
        <v>88</v>
      </c>
      <c r="B9" s="5">
        <v>2025080012</v>
      </c>
      <c r="C9" s="5">
        <v>12</v>
      </c>
      <c r="D9" s="2" t="s">
        <v>52</v>
      </c>
      <c r="E9" s="5">
        <v>9905937925</v>
      </c>
      <c r="F9" s="5">
        <v>9135154154</v>
      </c>
      <c r="G9" s="5" t="s">
        <v>89</v>
      </c>
      <c r="H9" s="5" t="s">
        <v>90</v>
      </c>
      <c r="I9" s="5">
        <v>13</v>
      </c>
      <c r="J9" s="5">
        <v>13</v>
      </c>
      <c r="K9" s="5">
        <v>0</v>
      </c>
      <c r="L9" s="6">
        <v>1</v>
      </c>
      <c r="M9" s="5">
        <v>13</v>
      </c>
      <c r="N9" s="5">
        <v>12</v>
      </c>
      <c r="O9" s="5">
        <v>1</v>
      </c>
      <c r="P9" s="6">
        <v>0.92307692307692313</v>
      </c>
      <c r="Q9" s="5" t="s">
        <v>87</v>
      </c>
      <c r="R9" s="5">
        <v>6</v>
      </c>
      <c r="S9" s="5">
        <v>10</v>
      </c>
      <c r="T9" s="5">
        <v>5</v>
      </c>
      <c r="U9" s="5">
        <v>16</v>
      </c>
      <c r="V9" s="5">
        <v>20</v>
      </c>
      <c r="W9" s="5">
        <v>5</v>
      </c>
      <c r="X9" s="5">
        <v>5</v>
      </c>
      <c r="Y9" s="5">
        <v>67</v>
      </c>
      <c r="Z9" s="5">
        <v>93</v>
      </c>
      <c r="AA9" s="5" t="s">
        <v>91</v>
      </c>
      <c r="AB9" s="5">
        <v>6</v>
      </c>
      <c r="AC9" s="5">
        <v>11</v>
      </c>
      <c r="AD9" s="5">
        <v>6</v>
      </c>
      <c r="AE9" s="5">
        <v>23</v>
      </c>
      <c r="AF9" s="5">
        <v>36.75</v>
      </c>
      <c r="AG9" s="7" t="s">
        <v>92</v>
      </c>
      <c r="AH9" s="5">
        <v>10.5</v>
      </c>
      <c r="AI9" s="5">
        <v>20</v>
      </c>
      <c r="AJ9" s="5">
        <v>9</v>
      </c>
      <c r="AK9" s="5">
        <v>10</v>
      </c>
      <c r="AL9" s="5">
        <v>10</v>
      </c>
      <c r="AM9" s="5">
        <v>10</v>
      </c>
      <c r="AN9" s="5">
        <v>9</v>
      </c>
      <c r="AO9" s="5">
        <v>10</v>
      </c>
      <c r="AP9" s="5">
        <v>10</v>
      </c>
      <c r="AQ9" s="5">
        <v>10</v>
      </c>
      <c r="AR9" s="5">
        <v>10</v>
      </c>
      <c r="AS9" s="5">
        <v>10</v>
      </c>
      <c r="AT9" s="5">
        <v>10</v>
      </c>
      <c r="AU9" s="5">
        <v>10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10</v>
      </c>
      <c r="BB9" s="5">
        <v>10</v>
      </c>
      <c r="BC9" s="5">
        <v>10</v>
      </c>
      <c r="BD9" s="5">
        <v>10</v>
      </c>
      <c r="BE9" s="5">
        <v>10</v>
      </c>
      <c r="BF9" s="5">
        <v>10</v>
      </c>
      <c r="BG9" s="5">
        <v>10</v>
      </c>
      <c r="BH9" s="5">
        <v>10</v>
      </c>
      <c r="BI9" s="5">
        <v>10</v>
      </c>
      <c r="BJ9" s="5">
        <v>10</v>
      </c>
      <c r="BK9" s="5">
        <v>10</v>
      </c>
      <c r="BL9" s="5">
        <f t="shared" si="1"/>
        <v>67</v>
      </c>
      <c r="BM9" s="5">
        <f t="shared" si="0"/>
        <v>70</v>
      </c>
      <c r="BN9" s="5">
        <f t="shared" si="0"/>
        <v>70</v>
      </c>
      <c r="BO9" s="5">
        <f t="shared" si="0"/>
        <v>70</v>
      </c>
    </row>
    <row r="10" spans="1:67" ht="15.75" x14ac:dyDescent="0.25">
      <c r="A10" s="3" t="s">
        <v>93</v>
      </c>
      <c r="B10" s="3">
        <v>2025080001</v>
      </c>
      <c r="C10" s="5">
        <v>12</v>
      </c>
      <c r="D10" s="2" t="s">
        <v>52</v>
      </c>
      <c r="E10" s="3">
        <v>9760538859</v>
      </c>
      <c r="F10" s="3">
        <v>9149308891</v>
      </c>
      <c r="G10" s="5" t="s">
        <v>94</v>
      </c>
      <c r="H10" s="5" t="s">
        <v>95</v>
      </c>
      <c r="I10" s="5">
        <v>13</v>
      </c>
      <c r="J10" s="5">
        <v>12</v>
      </c>
      <c r="K10" s="5">
        <v>1</v>
      </c>
      <c r="L10" s="6">
        <v>0.92307692307692313</v>
      </c>
      <c r="M10" s="5">
        <v>13</v>
      </c>
      <c r="N10" s="5">
        <v>8</v>
      </c>
      <c r="O10" s="5">
        <v>5</v>
      </c>
      <c r="P10" s="6">
        <v>0.61538461538461542</v>
      </c>
      <c r="Q10" s="5" t="s">
        <v>96</v>
      </c>
      <c r="R10" s="5">
        <v>8</v>
      </c>
      <c r="S10" s="5">
        <v>9</v>
      </c>
      <c r="T10" s="5">
        <v>7</v>
      </c>
      <c r="U10" s="5">
        <v>17</v>
      </c>
      <c r="V10" s="5">
        <v>26</v>
      </c>
      <c r="W10" s="5">
        <v>16</v>
      </c>
      <c r="X10" s="5">
        <v>10</v>
      </c>
      <c r="Y10" s="5">
        <v>93</v>
      </c>
      <c r="Z10" s="5">
        <v>93</v>
      </c>
      <c r="AA10" s="5" t="s">
        <v>72</v>
      </c>
      <c r="AB10" s="5">
        <v>11</v>
      </c>
      <c r="AC10" s="5">
        <v>13</v>
      </c>
      <c r="AD10" s="5">
        <v>12.5</v>
      </c>
      <c r="AE10" s="5">
        <v>36.5</v>
      </c>
      <c r="AF10" s="5">
        <v>36.75</v>
      </c>
      <c r="AG10" s="7" t="s">
        <v>97</v>
      </c>
      <c r="AH10" s="5">
        <v>18</v>
      </c>
      <c r="AI10" s="5">
        <v>20</v>
      </c>
      <c r="AJ10" s="5">
        <v>10</v>
      </c>
      <c r="AK10" s="5">
        <v>10</v>
      </c>
      <c r="AL10" s="5">
        <v>10</v>
      </c>
      <c r="AM10" s="5">
        <v>10</v>
      </c>
      <c r="AN10" s="3">
        <v>10</v>
      </c>
      <c r="AO10" s="3">
        <v>10</v>
      </c>
      <c r="AP10" s="3">
        <v>10</v>
      </c>
      <c r="AQ10" s="3">
        <v>10</v>
      </c>
      <c r="AR10" s="5">
        <v>10</v>
      </c>
      <c r="AS10" s="5">
        <v>10</v>
      </c>
      <c r="AT10" s="5">
        <v>10</v>
      </c>
      <c r="AU10" s="5">
        <v>10</v>
      </c>
      <c r="AV10" s="5">
        <v>10</v>
      </c>
      <c r="AW10" s="5">
        <v>10</v>
      </c>
      <c r="AX10" s="5">
        <v>10</v>
      </c>
      <c r="AY10" s="5">
        <v>10</v>
      </c>
      <c r="AZ10" s="5">
        <v>10</v>
      </c>
      <c r="BA10" s="5">
        <v>10</v>
      </c>
      <c r="BB10" s="5">
        <v>10</v>
      </c>
      <c r="BC10" s="5">
        <v>10</v>
      </c>
      <c r="BD10" s="5">
        <v>10</v>
      </c>
      <c r="BE10" s="5">
        <v>10</v>
      </c>
      <c r="BF10" s="5">
        <v>10</v>
      </c>
      <c r="BG10" s="5">
        <v>10</v>
      </c>
      <c r="BH10" s="5">
        <v>10</v>
      </c>
      <c r="BI10" s="5">
        <v>10</v>
      </c>
      <c r="BJ10" s="5">
        <v>10</v>
      </c>
      <c r="BK10" s="5">
        <v>10</v>
      </c>
      <c r="BL10" s="5">
        <f t="shared" si="1"/>
        <v>70</v>
      </c>
      <c r="BM10" s="5">
        <f t="shared" si="0"/>
        <v>70</v>
      </c>
      <c r="BN10" s="5">
        <f t="shared" si="0"/>
        <v>70</v>
      </c>
      <c r="BO10" s="5">
        <f t="shared" si="0"/>
        <v>70</v>
      </c>
    </row>
    <row r="11" spans="1:67" ht="15.75" x14ac:dyDescent="0.25">
      <c r="A11" s="3" t="s">
        <v>98</v>
      </c>
      <c r="B11" s="3">
        <v>2025080004</v>
      </c>
      <c r="C11" s="5">
        <v>12</v>
      </c>
      <c r="D11" s="2" t="s">
        <v>52</v>
      </c>
      <c r="E11" s="3">
        <v>8266077665</v>
      </c>
      <c r="F11" s="3">
        <v>8630292626</v>
      </c>
      <c r="G11" s="5" t="s">
        <v>99</v>
      </c>
      <c r="H11" s="5" t="s">
        <v>100</v>
      </c>
      <c r="I11" s="5">
        <v>13</v>
      </c>
      <c r="J11" s="5">
        <v>11</v>
      </c>
      <c r="K11" s="5">
        <v>2</v>
      </c>
      <c r="L11" s="6">
        <v>0.84615384615384615</v>
      </c>
      <c r="M11" s="5">
        <v>13</v>
      </c>
      <c r="N11" s="5">
        <v>12</v>
      </c>
      <c r="O11" s="5">
        <v>1</v>
      </c>
      <c r="P11" s="6">
        <v>0.92307692307692313</v>
      </c>
      <c r="Q11" s="5" t="s">
        <v>91</v>
      </c>
      <c r="R11" s="5">
        <v>4</v>
      </c>
      <c r="S11" s="5">
        <v>7</v>
      </c>
      <c r="T11" s="5">
        <v>7</v>
      </c>
      <c r="U11" s="5">
        <v>17</v>
      </c>
      <c r="V11" s="5">
        <v>12</v>
      </c>
      <c r="W11" s="5">
        <v>13</v>
      </c>
      <c r="X11" s="5">
        <v>7</v>
      </c>
      <c r="Y11" s="5">
        <v>67</v>
      </c>
      <c r="Z11" s="5">
        <v>93</v>
      </c>
      <c r="AA11" s="5" t="s">
        <v>78</v>
      </c>
      <c r="AB11" s="5">
        <v>8.25</v>
      </c>
      <c r="AC11" s="5">
        <v>11</v>
      </c>
      <c r="AD11" s="5">
        <v>13</v>
      </c>
      <c r="AE11" s="5">
        <v>32.25</v>
      </c>
      <c r="AF11" s="5">
        <v>36.75</v>
      </c>
      <c r="AG11" s="7" t="s">
        <v>101</v>
      </c>
      <c r="AH11" s="5">
        <v>18.5</v>
      </c>
      <c r="AI11" s="5">
        <v>20</v>
      </c>
      <c r="AJ11" s="3">
        <v>10</v>
      </c>
      <c r="AK11" s="3">
        <v>9</v>
      </c>
      <c r="AL11" s="3">
        <v>10</v>
      </c>
      <c r="AM11" s="3">
        <v>10</v>
      </c>
      <c r="AN11" s="3">
        <v>10</v>
      </c>
      <c r="AO11" s="3">
        <v>10</v>
      </c>
      <c r="AP11" s="3">
        <v>10</v>
      </c>
      <c r="AQ11" s="3">
        <v>10</v>
      </c>
      <c r="AR11" s="5">
        <v>10</v>
      </c>
      <c r="AS11" s="5">
        <v>10</v>
      </c>
      <c r="AT11" s="5">
        <v>10</v>
      </c>
      <c r="AU11" s="5">
        <v>10</v>
      </c>
      <c r="AV11" s="5">
        <v>10</v>
      </c>
      <c r="AW11" s="5">
        <v>10</v>
      </c>
      <c r="AX11" s="5">
        <v>10</v>
      </c>
      <c r="AY11" s="5">
        <v>10</v>
      </c>
      <c r="AZ11" s="5">
        <v>10</v>
      </c>
      <c r="BA11" s="5">
        <v>10</v>
      </c>
      <c r="BB11" s="5">
        <v>10</v>
      </c>
      <c r="BC11" s="5">
        <v>10</v>
      </c>
      <c r="BD11" s="5">
        <v>10</v>
      </c>
      <c r="BE11" s="5">
        <v>10</v>
      </c>
      <c r="BF11" s="5">
        <v>10</v>
      </c>
      <c r="BG11" s="5">
        <v>10</v>
      </c>
      <c r="BH11" s="5">
        <v>10</v>
      </c>
      <c r="BI11" s="5">
        <v>10</v>
      </c>
      <c r="BJ11" s="5">
        <v>10</v>
      </c>
      <c r="BK11" s="5">
        <v>10</v>
      </c>
      <c r="BL11" s="5">
        <f t="shared" si="1"/>
        <v>70</v>
      </c>
      <c r="BM11" s="5">
        <f t="shared" si="0"/>
        <v>69</v>
      </c>
      <c r="BN11" s="5">
        <f t="shared" si="0"/>
        <v>70</v>
      </c>
      <c r="BO11" s="5">
        <f t="shared" si="0"/>
        <v>70</v>
      </c>
    </row>
    <row r="12" spans="1:67" ht="15.75" x14ac:dyDescent="0.25">
      <c r="A12" s="3" t="s">
        <v>102</v>
      </c>
      <c r="B12" s="3">
        <v>2025080005</v>
      </c>
      <c r="C12" s="5">
        <v>12</v>
      </c>
      <c r="D12" s="2" t="s">
        <v>52</v>
      </c>
      <c r="E12" s="3">
        <v>9410047365</v>
      </c>
      <c r="F12" s="3">
        <v>9457138304</v>
      </c>
      <c r="G12" s="5" t="s">
        <v>103</v>
      </c>
      <c r="H12" s="5" t="s">
        <v>104</v>
      </c>
      <c r="I12" s="5">
        <v>13</v>
      </c>
      <c r="J12" s="5">
        <v>12</v>
      </c>
      <c r="K12" s="5">
        <v>1</v>
      </c>
      <c r="L12" s="6">
        <v>0.92307692307692313</v>
      </c>
      <c r="M12" s="5">
        <v>13</v>
      </c>
      <c r="N12" s="5">
        <v>12</v>
      </c>
      <c r="O12" s="5">
        <v>1</v>
      </c>
      <c r="P12" s="6">
        <v>0.92307692307692313</v>
      </c>
      <c r="Q12" s="5" t="s">
        <v>73</v>
      </c>
      <c r="R12" s="5">
        <v>6</v>
      </c>
      <c r="S12" s="5">
        <v>8</v>
      </c>
      <c r="T12" s="5">
        <v>6</v>
      </c>
      <c r="U12" s="5">
        <v>20</v>
      </c>
      <c r="V12" s="5">
        <v>25</v>
      </c>
      <c r="W12" s="5">
        <v>19</v>
      </c>
      <c r="X12" s="5">
        <v>8</v>
      </c>
      <c r="Y12" s="5">
        <v>92</v>
      </c>
      <c r="Z12" s="5">
        <v>93</v>
      </c>
      <c r="AA12" s="5" t="s">
        <v>96</v>
      </c>
      <c r="AB12" s="5">
        <v>10.75</v>
      </c>
      <c r="AC12" s="5">
        <v>13</v>
      </c>
      <c r="AD12" s="5">
        <v>13</v>
      </c>
      <c r="AE12" s="5">
        <v>36.75</v>
      </c>
      <c r="AF12" s="5">
        <v>36.75</v>
      </c>
      <c r="AG12" s="7" t="s">
        <v>105</v>
      </c>
      <c r="AH12" s="5">
        <v>20</v>
      </c>
      <c r="AI12" s="5">
        <v>20</v>
      </c>
      <c r="AJ12" s="3">
        <v>10</v>
      </c>
      <c r="AK12" s="3">
        <v>10</v>
      </c>
      <c r="AL12" s="3">
        <v>10</v>
      </c>
      <c r="AM12" s="3">
        <v>10</v>
      </c>
      <c r="AN12" s="3">
        <v>9</v>
      </c>
      <c r="AO12" s="3">
        <v>10</v>
      </c>
      <c r="AP12" s="3">
        <v>10</v>
      </c>
      <c r="AQ12" s="3">
        <v>10</v>
      </c>
      <c r="AR12" s="5">
        <v>10</v>
      </c>
      <c r="AS12" s="5">
        <v>10</v>
      </c>
      <c r="AT12" s="5">
        <v>10</v>
      </c>
      <c r="AU12" s="5">
        <v>10</v>
      </c>
      <c r="AV12" s="5">
        <v>10</v>
      </c>
      <c r="AW12" s="5">
        <v>10</v>
      </c>
      <c r="AX12" s="5">
        <v>10</v>
      </c>
      <c r="AY12" s="5">
        <v>10</v>
      </c>
      <c r="AZ12" s="5">
        <v>10</v>
      </c>
      <c r="BA12" s="5">
        <v>10</v>
      </c>
      <c r="BB12" s="5">
        <v>10</v>
      </c>
      <c r="BC12" s="5">
        <v>10</v>
      </c>
      <c r="BD12" s="5">
        <v>10</v>
      </c>
      <c r="BE12" s="5">
        <v>10</v>
      </c>
      <c r="BF12" s="5">
        <v>10</v>
      </c>
      <c r="BG12" s="5">
        <v>10</v>
      </c>
      <c r="BH12" s="5">
        <v>10</v>
      </c>
      <c r="BI12" s="5">
        <v>10</v>
      </c>
      <c r="BJ12" s="5">
        <v>10</v>
      </c>
      <c r="BK12" s="5">
        <v>10</v>
      </c>
      <c r="BL12" s="5">
        <f t="shared" si="1"/>
        <v>69</v>
      </c>
      <c r="BM12" s="5">
        <f t="shared" si="0"/>
        <v>70</v>
      </c>
      <c r="BN12" s="5">
        <f t="shared" si="0"/>
        <v>70</v>
      </c>
      <c r="BO12" s="5">
        <f t="shared" si="0"/>
        <v>70</v>
      </c>
    </row>
    <row r="13" spans="1:67" ht="15.75" x14ac:dyDescent="0.25">
      <c r="A13" s="2" t="s">
        <v>106</v>
      </c>
      <c r="B13" s="2">
        <v>2025080008</v>
      </c>
      <c r="C13" s="5">
        <v>12</v>
      </c>
      <c r="D13" s="2" t="s">
        <v>52</v>
      </c>
      <c r="E13" s="3">
        <v>6396814344</v>
      </c>
      <c r="F13" s="3">
        <v>9368774699</v>
      </c>
      <c r="G13" s="5" t="s">
        <v>107</v>
      </c>
      <c r="H13" s="5" t="s">
        <v>108</v>
      </c>
      <c r="I13" s="5">
        <v>13</v>
      </c>
      <c r="J13" s="5">
        <v>11</v>
      </c>
      <c r="K13" s="5">
        <v>2</v>
      </c>
      <c r="L13" s="6">
        <v>0.84615384615384615</v>
      </c>
      <c r="M13" s="5">
        <v>13</v>
      </c>
      <c r="N13" s="5">
        <v>13</v>
      </c>
      <c r="O13" s="5">
        <v>0</v>
      </c>
      <c r="P13" s="6">
        <v>1</v>
      </c>
      <c r="Q13" s="5" t="s">
        <v>63</v>
      </c>
      <c r="R13" s="5">
        <v>5</v>
      </c>
      <c r="S13" s="5">
        <v>9</v>
      </c>
      <c r="T13" s="5">
        <v>5</v>
      </c>
      <c r="U13" s="5">
        <v>11</v>
      </c>
      <c r="V13" s="5">
        <v>16</v>
      </c>
      <c r="W13" s="5">
        <v>9</v>
      </c>
      <c r="X13" s="5">
        <v>6</v>
      </c>
      <c r="Y13" s="5">
        <v>61</v>
      </c>
      <c r="Z13" s="5">
        <v>93</v>
      </c>
      <c r="AA13" s="5" t="s">
        <v>62</v>
      </c>
      <c r="AB13" s="5">
        <v>3.25</v>
      </c>
      <c r="AC13" s="5">
        <v>11</v>
      </c>
      <c r="AD13" s="5">
        <v>3</v>
      </c>
      <c r="AE13" s="5">
        <v>17.25</v>
      </c>
      <c r="AF13" s="5">
        <v>36.75</v>
      </c>
      <c r="AG13" s="7" t="s">
        <v>109</v>
      </c>
      <c r="AH13" s="5">
        <v>5.5</v>
      </c>
      <c r="AI13" s="5">
        <v>20</v>
      </c>
      <c r="AJ13" s="3">
        <v>9</v>
      </c>
      <c r="AK13" s="3">
        <v>10</v>
      </c>
      <c r="AL13" s="3">
        <v>9</v>
      </c>
      <c r="AM13" s="3">
        <v>10</v>
      </c>
      <c r="AN13" s="3">
        <v>9</v>
      </c>
      <c r="AO13" s="3">
        <v>10</v>
      </c>
      <c r="AP13" s="3">
        <v>10</v>
      </c>
      <c r="AQ13" s="5">
        <v>10</v>
      </c>
      <c r="AR13" s="5">
        <v>10</v>
      </c>
      <c r="AS13" s="5">
        <v>10</v>
      </c>
      <c r="AT13" s="5">
        <v>10</v>
      </c>
      <c r="AU13" s="5">
        <v>10</v>
      </c>
      <c r="AV13" s="5">
        <v>9</v>
      </c>
      <c r="AW13" s="5">
        <v>9</v>
      </c>
      <c r="AX13" s="5">
        <v>9</v>
      </c>
      <c r="AY13" s="5">
        <v>9</v>
      </c>
      <c r="AZ13" s="5">
        <v>8</v>
      </c>
      <c r="BA13" s="5">
        <v>10</v>
      </c>
      <c r="BB13" s="5">
        <v>8</v>
      </c>
      <c r="BC13" s="5">
        <v>9</v>
      </c>
      <c r="BD13" s="5">
        <v>10</v>
      </c>
      <c r="BE13" s="5">
        <v>10</v>
      </c>
      <c r="BF13" s="5">
        <v>10</v>
      </c>
      <c r="BG13" s="5">
        <v>10</v>
      </c>
      <c r="BH13" s="5">
        <v>10</v>
      </c>
      <c r="BI13" s="5">
        <v>10</v>
      </c>
      <c r="BJ13" s="5">
        <v>10</v>
      </c>
      <c r="BK13" s="5">
        <v>10</v>
      </c>
      <c r="BL13" s="5">
        <f t="shared" si="1"/>
        <v>65</v>
      </c>
      <c r="BM13" s="5">
        <f t="shared" si="0"/>
        <v>69</v>
      </c>
      <c r="BN13" s="5">
        <f t="shared" si="0"/>
        <v>66</v>
      </c>
      <c r="BO13" s="5">
        <f t="shared" si="0"/>
        <v>68</v>
      </c>
    </row>
    <row r="14" spans="1:67" x14ac:dyDescent="0.25">
      <c r="AG14" s="8"/>
    </row>
  </sheetData>
  <conditionalFormatting sqref="A1:B1">
    <cfRule type="duplicateValues" dxfId="8" priority="8"/>
  </conditionalFormatting>
  <conditionalFormatting sqref="B1">
    <cfRule type="duplicateValues" dxfId="7" priority="6"/>
    <cfRule type="duplicateValues" dxfId="6" priority="7"/>
  </conditionalFormatting>
  <conditionalFormatting sqref="C1">
    <cfRule type="duplicateValues" dxfId="5" priority="4"/>
    <cfRule type="duplicateValues" dxfId="4" priority="5"/>
  </conditionalFormatting>
  <conditionalFormatting sqref="Q1:AD1">
    <cfRule type="duplicateValues" dxfId="3" priority="3"/>
  </conditionalFormatting>
  <conditionalFormatting sqref="Q1:AD1">
    <cfRule type="duplicateValues" dxfId="2" priority="1"/>
    <cfRule type="duplicateValues" dxfId="1" priority="2"/>
  </conditionalFormatting>
  <conditionalFormatting sqref="A2:A13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edp15</dc:creator>
  <cp:lastModifiedBy>edp15</cp:lastModifiedBy>
  <dcterms:created xsi:type="dcterms:W3CDTF">2025-09-26T09:38:39Z</dcterms:created>
  <dcterms:modified xsi:type="dcterms:W3CDTF">2025-09-26T10:25:33Z</dcterms:modified>
</cp:coreProperties>
</file>