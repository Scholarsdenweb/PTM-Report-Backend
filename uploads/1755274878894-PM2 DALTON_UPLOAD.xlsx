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111127C3-A459-47F4-8C10-814F01B82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2" i="1" l="1"/>
  <c r="BN2" i="1"/>
  <c r="BM2" i="1"/>
  <c r="BL2" i="1"/>
</calcChain>
</file>

<file path=xl/sharedStrings.xml><?xml version="1.0" encoding="utf-8"?>
<sst xmlns="http://schemas.openxmlformats.org/spreadsheetml/2006/main" count="75" uniqueCount="75">
  <si>
    <t xml:space="preserve">Sr. No </t>
  </si>
  <si>
    <t>NAME</t>
  </si>
  <si>
    <t>BATCH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</si>
  <si>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</si>
  <si>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</si>
  <si>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</si>
  <si>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</si>
  <si>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</si>
  <si>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</si>
  <si>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</si>
  <si>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</si>
  <si>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</si>
  <si>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</si>
  <si>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</si>
  <si>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</si>
  <si>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</si>
  <si>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</si>
  <si>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</si>
  <si>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</si>
  <si>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</si>
  <si>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</si>
  <si>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</si>
  <si>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</si>
  <si>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PM2</t>
  </si>
  <si>
    <t>Alpish</t>
  </si>
  <si>
    <t>Mohd Yunus</t>
  </si>
  <si>
    <t>Mrs. Shama</t>
  </si>
  <si>
    <t>Strength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</si>
  <si>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</si>
  <si>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</si>
  <si>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</si>
  <si>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</si>
  <si>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</si>
  <si>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</si>
  <si>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</si>
  <si>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</si>
  <si>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</si>
  <si>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</si>
  <si>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</si>
  <si>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</si>
  <si>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</si>
  <si>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</si>
  <si>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</si>
  <si>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</si>
  <si>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</si>
  <si>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</si>
  <si>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</si>
  <si>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</si>
  <si>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</si>
  <si>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</si>
  <si>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</si>
  <si>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</si>
  <si>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</si>
  <si>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</si>
  <si>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</si>
  <si>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</si>
  <si>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</si>
  <si>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</si>
  <si>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</si>
  <si>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</si>
  <si>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</si>
  <si>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</si>
  <si>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</si>
  <si>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</si>
  <si>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42/51</t>
  </si>
  <si>
    <t>42/56</t>
  </si>
  <si>
    <t>45/49</t>
  </si>
  <si>
    <t>27/42</t>
  </si>
  <si>
    <t>ROLL NO</t>
  </si>
  <si>
    <t>Father Name</t>
  </si>
  <si>
    <t>Mother Name</t>
  </si>
  <si>
    <t>Physical Chemistry_CR</t>
  </si>
  <si>
    <t>Physical Chemistry_OD</t>
  </si>
  <si>
    <t>Physical Chemistry_CA</t>
  </si>
  <si>
    <t>Physical Chemistry_HW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</si>
</sst>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B16" sqref="B16"/>
    </sheetView>
  </sheetViews>
  <sheetFormatPr defaultRowHeight="14.4" x14ac:dyDescent="0.3"/>
  <cols>
    <col min="1" max="1" width="7.5546875" bestFit="1" customWidth="1"/>
    <col min="2" max="2" width="21" bestFit="1" customWidth="1"/>
    <col min="3" max="3" width="12.44140625" bestFit="1" customWidth="1"/>
    <col min="4" max="4" width="7.44140625" bestFit="1" customWidth="1"/>
    <col min="5" max="5" width="15.6640625" customWidth="1"/>
    <col min="6" max="7" width="22.44140625" customWidth="1"/>
    <col min="8" max="19" width="9.6640625" style="10" customWidth="1"/>
    <col min="20" max="32" width="13.44140625" customWidth="1"/>
    <col min="33" max="43" width="13.44140625" style="11" customWidth="1"/>
    <col min="44" max="67" width="12.6640625" style="11" customWidth="1"/>
  </cols>
  <sheetData>
    <row r="1" spans="1:67" ht="58.2" customHeight="1" x14ac:dyDescent="0.3">
      <c r="A1" s="1" t="s">
        <v>0</v>
      </c>
      <c r="B1" s="1" t="s">
        <v>1</v>
      </c>
      <c r="C1" s="1" t="s">
        <v>68</v>
      </c>
      <c r="D1" s="1" t="s">
        <v>2</v>
      </c>
      <c r="E1" s="1" t="s">
        <v>27</v>
      </c>
      <c r="F1" s="1" t="s">
        <v>69</v>
      </c>
      <c r="G1" s="1" t="s">
        <v>70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44</v>
      </c>
      <c r="Y1" s="3" t="s">
        <v>45</v>
      </c>
      <c r="Z1" s="8" t="s">
        <v>46</v>
      </c>
      <c r="AA1" s="8" t="s">
        <v>47</v>
      </c>
      <c r="AB1" s="8" t="s">
        <v>48</v>
      </c>
      <c r="AC1" s="8" t="s">
        <v>49</v>
      </c>
      <c r="AD1" s="8" t="s">
        <v>50</v>
      </c>
      <c r="AE1" s="3" t="s">
        <v>51</v>
      </c>
      <c r="AF1" s="8" t="s">
        <v>52</v>
      </c>
      <c r="AG1" s="8" t="s">
        <v>53</v>
      </c>
      <c r="AH1" s="8" t="s">
        <v>54</v>
      </c>
      <c r="AI1" s="8" t="s">
        <v>55</v>
      </c>
      <c r="AJ1" s="8" t="s">
        <v>56</v>
      </c>
      <c r="AK1" s="3" t="s">
        <v>57</v>
      </c>
      <c r="AL1" s="8" t="s">
        <v>58</v>
      </c>
      <c r="AM1" s="8" t="s">
        <v>59</v>
      </c>
      <c r="AN1" s="8" t="s">
        <v>60</v>
      </c>
      <c r="AO1" s="8" t="s">
        <v>61</v>
      </c>
      <c r="AP1" s="8" t="s">
        <v>62</v>
      </c>
      <c r="AQ1" s="3" t="s">
        <v>63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71</v>
      </c>
      <c r="BE1" s="3" t="s">
        <v>72</v>
      </c>
      <c r="BF1" s="3" t="s">
        <v>73</v>
      </c>
      <c r="BG1" s="3" t="s">
        <v>74</v>
      </c>
      <c r="BH1" s="3" t="s">
        <v>15</v>
      </c>
      <c r="BI1" s="3" t="s">
        <v>16</v>
      </c>
      <c r="BJ1" s="3" t="s">
        <v>17</v>
      </c>
      <c r="BK1" s="3" t="s">
        <v>18</v>
      </c>
      <c r="BL1" s="3" t="s">
        <v>19</v>
      </c>
      <c r="BM1" s="3" t="s">
        <v>20</v>
      </c>
      <c r="BN1" s="3" t="s">
        <v>21</v>
      </c>
      <c r="BO1" s="3" t="s">
        <v>22</v>
      </c>
    </row>
    <row r="2" spans="1:67" ht="15.6" x14ac:dyDescent="0.3">
      <c r="A2" s="4">
        <v>5</v>
      </c>
      <c r="B2" s="5" t="s">
        <v>24</v>
      </c>
      <c r="C2" s="5">
        <v>2025160057</v>
      </c>
      <c r="D2" s="4" t="s">
        <v>23</v>
      </c>
      <c r="E2" s="4">
        <v>52</v>
      </c>
      <c r="F2" s="4" t="s">
        <v>25</v>
      </c>
      <c r="G2" s="4" t="s">
        <v>26</v>
      </c>
      <c r="H2" s="6">
        <v>6</v>
      </c>
      <c r="I2" s="6">
        <v>6</v>
      </c>
      <c r="J2" s="6">
        <v>0</v>
      </c>
      <c r="K2" s="7">
        <v>1</v>
      </c>
      <c r="L2" s="6">
        <v>18</v>
      </c>
      <c r="M2" s="6">
        <v>18</v>
      </c>
      <c r="N2" s="6">
        <v>0</v>
      </c>
      <c r="O2" s="7">
        <v>1</v>
      </c>
      <c r="P2" s="6">
        <v>22</v>
      </c>
      <c r="Q2" s="6">
        <v>21</v>
      </c>
      <c r="R2" s="6">
        <v>1</v>
      </c>
      <c r="S2" s="7">
        <v>0.95454545454545459</v>
      </c>
      <c r="T2" s="6" t="s">
        <v>64</v>
      </c>
      <c r="U2" s="6">
        <v>25</v>
      </c>
      <c r="V2" s="6">
        <v>100</v>
      </c>
      <c r="W2" s="6">
        <v>115</v>
      </c>
      <c r="X2" s="6">
        <v>240</v>
      </c>
      <c r="Y2" s="6">
        <v>659</v>
      </c>
      <c r="Z2" s="6" t="s">
        <v>65</v>
      </c>
      <c r="AA2" s="6">
        <v>20</v>
      </c>
      <c r="AB2" s="6">
        <v>95</v>
      </c>
      <c r="AC2" s="6">
        <v>198</v>
      </c>
      <c r="AD2" s="6">
        <v>313</v>
      </c>
      <c r="AE2" s="6">
        <v>705</v>
      </c>
      <c r="AF2" s="6" t="s">
        <v>66</v>
      </c>
      <c r="AG2" s="6">
        <v>10</v>
      </c>
      <c r="AH2" s="6">
        <v>37</v>
      </c>
      <c r="AI2" s="6">
        <v>170</v>
      </c>
      <c r="AJ2" s="6">
        <v>217</v>
      </c>
      <c r="AK2" s="6">
        <v>690</v>
      </c>
      <c r="AL2" s="6" t="s">
        <v>67</v>
      </c>
      <c r="AM2" s="6">
        <v>46</v>
      </c>
      <c r="AN2" s="6">
        <v>55</v>
      </c>
      <c r="AO2" s="6">
        <v>192</v>
      </c>
      <c r="AP2" s="6">
        <v>293</v>
      </c>
      <c r="AQ2" s="6">
        <v>632</v>
      </c>
      <c r="AR2" s="6">
        <v>9</v>
      </c>
      <c r="AS2" s="6">
        <v>10</v>
      </c>
      <c r="AT2" s="6">
        <v>9</v>
      </c>
      <c r="AU2" s="6">
        <v>10</v>
      </c>
      <c r="AV2" s="9">
        <v>9</v>
      </c>
      <c r="AW2" s="9">
        <v>9</v>
      </c>
      <c r="AX2" s="9">
        <v>9</v>
      </c>
      <c r="AY2" s="9">
        <v>9</v>
      </c>
      <c r="AZ2" s="9">
        <v>9</v>
      </c>
      <c r="BA2" s="9">
        <v>9</v>
      </c>
      <c r="BB2" s="9">
        <v>9</v>
      </c>
      <c r="BC2" s="9">
        <v>9</v>
      </c>
      <c r="BD2" s="9">
        <v>9</v>
      </c>
      <c r="BE2" s="9">
        <v>9</v>
      </c>
      <c r="BF2" s="9">
        <v>9</v>
      </c>
      <c r="BG2" s="9">
        <v>9</v>
      </c>
      <c r="BH2" s="9">
        <v>8</v>
      </c>
      <c r="BI2" s="9">
        <v>8</v>
      </c>
      <c r="BJ2" s="9">
        <v>8</v>
      </c>
      <c r="BK2" s="9">
        <v>8</v>
      </c>
      <c r="BL2" s="6">
        <f>AR2+AV2+AZ2+BD2+BH2</f>
        <v>44</v>
      </c>
      <c r="BM2" s="6">
        <f>AS2+AW2+BA2+BE2+BI2</f>
        <v>45</v>
      </c>
      <c r="BN2" s="6">
        <f>AT2+AX2+BB2+BF2+BJ2</f>
        <v>44</v>
      </c>
      <c r="BO2" s="6">
        <f>AU2+AY2+BC2+BG2+BK2</f>
        <v>45</v>
      </c>
    </row>
  </sheetData>
  <conditionalFormatting sqref="C1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00" verticalDpi="300" r:id="rId1"/>
  <ignoredErrors>
    <ignoredError sqref="AL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2025-08-15T16:20:19Z</dcterms:modified>
</cp:coreProperties>
</file>